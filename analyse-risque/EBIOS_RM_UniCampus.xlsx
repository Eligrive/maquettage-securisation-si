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3.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3" yWindow="-93" windowWidth="25786" windowHeight="13866" tabRatio="500" firstSheet="16" activeTab="16" autoFilterDateGrouping="1"/>
  </bookViews>
  <sheets>
    <sheet xmlns:r="http://schemas.openxmlformats.org/officeDocument/2006/relationships" name="Introduction" sheetId="1" state="visible" r:id="rId1"/>
    <sheet xmlns:r="http://schemas.openxmlformats.org/officeDocument/2006/relationships" name="A1.0 Périmètre" sheetId="2" state="visible" r:id="rId2"/>
    <sheet xmlns:r="http://schemas.openxmlformats.org/officeDocument/2006/relationships" name="A1.1 Missions &amp; VM" sheetId="3" state="visible" r:id="rId3"/>
    <sheet xmlns:r="http://schemas.openxmlformats.org/officeDocument/2006/relationships" name="A1.2 Biens supports" sheetId="4" state="visible" r:id="rId4"/>
    <sheet xmlns:r="http://schemas.openxmlformats.org/officeDocument/2006/relationships" name="A1.3 Échelle de gravité" sheetId="5" state="visible" r:id="rId5"/>
    <sheet xmlns:r="http://schemas.openxmlformats.org/officeDocument/2006/relationships" name="A1.4 Événements redoutés" sheetId="6" state="visible" r:id="rId6"/>
    <sheet xmlns:r="http://schemas.openxmlformats.org/officeDocument/2006/relationships" name="A2.0 Échelle de pertinence" sheetId="7" state="visible" r:id="rId7"/>
    <sheet xmlns:r="http://schemas.openxmlformats.org/officeDocument/2006/relationships" name="A2.1 Sources de risque" sheetId="8" state="visible" r:id="rId8"/>
    <sheet xmlns:r="http://schemas.openxmlformats.org/officeDocument/2006/relationships" name="A2.2 Couples SR-OV" sheetId="9" state="visible" r:id="rId9"/>
    <sheet xmlns:r="http://schemas.openxmlformats.org/officeDocument/2006/relationships" name="A2.3 Liens couples - ER" sheetId="10" state="visible" r:id="rId10"/>
    <sheet xmlns:r="http://schemas.openxmlformats.org/officeDocument/2006/relationships" name="A3.0 Critères de dangerosité" sheetId="11" state="visible" r:id="rId11"/>
    <sheet xmlns:r="http://schemas.openxmlformats.org/officeDocument/2006/relationships" name="A3.1 Parties prenantes" sheetId="12" state="visible" r:id="rId12"/>
    <sheet xmlns:r="http://schemas.openxmlformats.org/officeDocument/2006/relationships" name="A3.2 Cartographie dangerosité" sheetId="13" state="visible" r:id="rId13"/>
    <sheet xmlns:r="http://schemas.openxmlformats.org/officeDocument/2006/relationships" name="A3.3 Scénarios stratégiques" sheetId="14" state="visible" r:id="rId14"/>
    <sheet xmlns:r="http://schemas.openxmlformats.org/officeDocument/2006/relationships" name="A3.4 Mesures écosystème" sheetId="15" state="visible" r:id="rId15"/>
    <sheet xmlns:r="http://schemas.openxmlformats.org/officeDocument/2006/relationships" name="A4.0 Échelle vraisemblance" sheetId="16" state="visible" r:id="rId16"/>
    <sheet xmlns:r="http://schemas.openxmlformats.org/officeDocument/2006/relationships" name="A4.1 Graphes d'attaque" sheetId="17" state="visible" r:id="rId17"/>
    <sheet xmlns:r="http://schemas.openxmlformats.org/officeDocument/2006/relationships" name="A4.2 Synthèse vraisemblance" sheetId="18" state="visible" r:id="rId18"/>
    <sheet xmlns:r="http://schemas.openxmlformats.org/officeDocument/2006/relationships" name="A5.0 Matrice et acceptation" sheetId="19" state="visible" r:id="rId19"/>
    <sheet xmlns:r="http://schemas.openxmlformats.org/officeDocument/2006/relationships" name="A5.1 Cartographies du risque" sheetId="20" state="visible" r:id="rId20"/>
    <sheet xmlns:r="http://schemas.openxmlformats.org/officeDocument/2006/relationships" name="A5.2 Stratégie de traitement" sheetId="21" state="visible" r:id="rId21"/>
    <sheet xmlns:r="http://schemas.openxmlformats.org/officeDocument/2006/relationships" name="A5.3 Plan de traitement" sheetId="22" state="visible" r:id="rId22"/>
    <sheet xmlns:r="http://schemas.openxmlformats.org/officeDocument/2006/relationships" name="A5.4 Risques résiduels" sheetId="23" state="visible" r:id="rId23"/>
    <sheet xmlns:r="http://schemas.openxmlformats.org/officeDocument/2006/relationships" name="A5.5 Cadre de suivi" sheetId="24" state="visible" r:id="rId24"/>
  </sheets>
  <definedNames/>
  <calcPr calcId="191029" fullCalcOnLoad="1" iterateDelta="0.0001"/>
</workbook>
</file>

<file path=xl/styles.xml><?xml version="1.0" encoding="utf-8"?>
<styleSheet xmlns="http://schemas.openxmlformats.org/spreadsheetml/2006/main">
  <numFmts count="0"/>
  <fonts count="32">
    <font>
      <name val="Calibri"/>
      <charset val="1"/>
      <family val="2"/>
      <color theme="1"/>
      <sz val="11"/>
    </font>
    <font>
      <name val="Arial"/>
      <charset val="1"/>
      <b val="1"/>
      <color rgb="FFFFFFFF"/>
      <sz val="16"/>
    </font>
    <font>
      <name val="Arial"/>
      <charset val="1"/>
      <b val="1"/>
      <color rgb="FF1F4E78"/>
      <sz val="13"/>
    </font>
    <font>
      <name val="Arial"/>
      <charset val="1"/>
      <b val="1"/>
      <color rgb="FF1F4E78"/>
      <sz val="12"/>
    </font>
    <font>
      <name val="Arial"/>
      <charset val="1"/>
      <i val="1"/>
      <color rgb="FF595959"/>
      <sz val="10"/>
    </font>
    <font>
      <name val="Arial"/>
      <charset val="1"/>
      <b val="1"/>
      <color rgb="FFFFFFFF"/>
      <sz val="11"/>
    </font>
    <font>
      <name val="Arial"/>
      <charset val="1"/>
      <family val="2"/>
      <b val="1"/>
      <color rgb="FFFFFFFF"/>
      <sz val="11"/>
    </font>
    <font>
      <name val="Arial"/>
      <charset val="1"/>
      <b val="1"/>
      <sz val="10"/>
    </font>
    <font>
      <name val="Arial"/>
      <charset val="1"/>
      <family val="2"/>
      <sz val="10"/>
    </font>
    <font>
      <name val="Arial"/>
      <charset val="1"/>
      <sz val="10"/>
    </font>
    <font>
      <name val="Arial"/>
      <charset val="1"/>
      <family val="2"/>
      <b val="1"/>
      <color rgb="FFFFFFFF"/>
      <sz val="16"/>
    </font>
    <font>
      <name val="Arial"/>
      <charset val="1"/>
      <family val="2"/>
      <b val="1"/>
      <sz val="10"/>
    </font>
    <font>
      <name val="Cambria"/>
      <charset val="1"/>
      <sz val="11"/>
    </font>
    <font>
      <name val="Arial"/>
      <charset val="1"/>
      <b val="1"/>
      <color rgb="FFFFFFFF"/>
      <sz val="10"/>
    </font>
    <font>
      <name val="Arial"/>
      <family val="2"/>
      <sz val="10"/>
    </font>
    <font>
      <name val="Arial"/>
      <family val="2"/>
      <i val="1"/>
      <color rgb="FF595959"/>
      <sz val="10"/>
    </font>
    <font>
      <name val="Arial"/>
      <family val="2"/>
      <b val="1"/>
      <color rgb="FFFFFFFF"/>
      <sz val="16"/>
    </font>
    <font>
      <name val="Arial"/>
      <family val="2"/>
      <b val="1"/>
      <sz val="10"/>
    </font>
    <font>
      <name val="Arial"/>
      <b val="1"/>
      <color rgb="FFFFFFFF"/>
      <sz val="16"/>
    </font>
    <font>
      <name val="Arial"/>
      <i val="1"/>
      <color rgb="FF595959"/>
      <sz val="10"/>
    </font>
    <font>
      <name val="Arial"/>
      <b val="1"/>
      <color rgb="FF1F4E78"/>
      <sz val="12"/>
    </font>
    <font>
      <name val="Arial"/>
      <b val="1"/>
      <color rgb="FFFFFFFF"/>
      <sz val="11"/>
    </font>
    <font>
      <name val="Arial"/>
      <b val="1"/>
      <sz val="10"/>
    </font>
    <font>
      <name val="Arial"/>
      <sz val="10"/>
    </font>
    <font>
      <name val="Arial"/>
      <b val="1"/>
      <color rgb="FFFFFFFF"/>
      <sz val="16"/>
    </font>
    <font>
      <name val="Arial"/>
      <i val="1"/>
      <color rgb="FF595959"/>
      <sz val="10"/>
    </font>
    <font>
      <name val="Arial"/>
      <b val="1"/>
      <color rgb="FF1F4E78"/>
      <sz val="12"/>
    </font>
    <font>
      <name val="Arial"/>
      <b val="1"/>
      <color rgb="FFFFFFFF"/>
      <sz val="11"/>
    </font>
    <font>
      <name val="Arial"/>
      <b val="1"/>
      <color rgb="00FFFFFF"/>
      <sz val="16"/>
    </font>
    <font>
      <name val="Arial"/>
      <i val="1"/>
      <color rgb="00595959"/>
      <sz val="10"/>
    </font>
    <font>
      <name val="Arial"/>
      <b val="1"/>
      <color rgb="001F4E78"/>
      <sz val="12"/>
    </font>
    <font>
      <name val="Arial"/>
      <b val="1"/>
      <color rgb="00FFFFFF"/>
      <sz val="11"/>
    </font>
  </fonts>
  <fills count="29">
    <fill>
      <patternFill/>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
      <patternFill patternType="solid">
        <fgColor rgb="FF1F4E78"/>
      </patternFill>
    </fill>
    <fill>
      <patternFill patternType="solid">
        <fgColor rgb="FFFFF2CC"/>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D699"/>
      </patternFill>
    </fill>
    <fill>
      <patternFill patternType="solid">
        <fgColor rgb="FFFFC7CE"/>
      </patternFill>
    </fill>
    <fill>
      <patternFill patternType="solid">
        <fgColor rgb="FFF2F2F2"/>
      </patternFill>
    </fill>
    <fill>
      <patternFill patternType="solid">
        <fgColor rgb="FF1F4E78"/>
      </patternFill>
    </fill>
    <fill>
      <patternFill patternType="solid">
        <fgColor rgb="FFFFF2CC"/>
      </patternFill>
    </fill>
    <fill>
      <patternFill patternType="solid">
        <fgColor rgb="FFD9E1F2"/>
      </patternFill>
    </fill>
    <fill>
      <patternFill patternType="solid">
        <fgColor rgb="001F4E78"/>
      </patternFill>
    </fill>
    <fill>
      <patternFill patternType="solid">
        <fgColor rgb="00FFF2CC"/>
      </patternFill>
    </fill>
    <fill>
      <patternFill patternType="solid">
        <fgColor rgb="00D9E1F2"/>
      </patternFill>
    </fill>
  </fills>
  <borders count="13">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8">
    <xf numFmtId="0" fontId="0" fillId="0" borderId="0" pivotButton="0" quotePrefix="0" xfId="0"/>
    <xf numFmtId="0" fontId="5" fillId="2" borderId="2"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0">
      <alignment horizontal="center" vertical="center" wrapText="1"/>
    </xf>
    <xf numFmtId="0" fontId="8" fillId="0" borderId="2" applyAlignment="1" pivotButton="0" quotePrefix="0" xfId="0">
      <alignment horizontal="left" vertical="top" wrapText="1"/>
    </xf>
    <xf numFmtId="0" fontId="9" fillId="0" borderId="2" applyAlignment="1" pivotButton="0" quotePrefix="0" xfId="0">
      <alignment horizontal="left" vertical="top" wrapText="1"/>
    </xf>
    <xf numFmtId="49" fontId="8" fillId="0" borderId="2" applyAlignment="1" pivotButton="0" quotePrefix="0" xfId="0">
      <alignment horizontal="left" vertical="top" wrapText="1"/>
    </xf>
    <xf numFmtId="0" fontId="7" fillId="5" borderId="2" applyAlignment="1" pivotButton="0" quotePrefix="0" xfId="0">
      <alignment horizontal="center" vertical="center" wrapText="1"/>
    </xf>
    <xf numFmtId="0" fontId="9" fillId="5" borderId="2" applyAlignment="1" pivotButton="0" quotePrefix="0" xfId="0">
      <alignment horizontal="left" vertical="top" wrapText="1"/>
    </xf>
    <xf numFmtId="0" fontId="8" fillId="5" borderId="2" applyAlignment="1" pivotButton="0" quotePrefix="0" xfId="0">
      <alignment horizontal="left" vertical="top" wrapText="1"/>
    </xf>
    <xf numFmtId="0" fontId="9" fillId="0" borderId="2" applyAlignment="1" pivotButton="0" quotePrefix="0" xfId="0">
      <alignment horizontal="center" vertical="center" wrapText="1"/>
    </xf>
    <xf numFmtId="0" fontId="9" fillId="5" borderId="2" applyAlignment="1" pivotButton="0" quotePrefix="0" xfId="0">
      <alignment horizontal="center" vertical="center" wrapText="1"/>
    </xf>
    <xf numFmtId="0" fontId="7" fillId="3" borderId="2" applyAlignment="1" pivotButton="0" quotePrefix="0" xfId="0">
      <alignment horizontal="left" vertical="top" wrapText="1"/>
    </xf>
    <xf numFmtId="0" fontId="7" fillId="3" borderId="2" applyAlignment="1" pivotButton="0" quotePrefix="0" xfId="0">
      <alignment horizontal="center" vertical="center" wrapText="1"/>
    </xf>
    <xf numFmtId="0" fontId="11" fillId="0" borderId="2" applyAlignment="1" pivotButton="0" quotePrefix="0" xfId="0">
      <alignment horizontal="left" vertical="top" wrapText="1"/>
    </xf>
    <xf numFmtId="0" fontId="11" fillId="5" borderId="2" applyAlignment="1" pivotButton="0" quotePrefix="0" xfId="0">
      <alignment horizontal="left" vertical="top" wrapText="1"/>
    </xf>
    <xf numFmtId="0" fontId="7" fillId="6" borderId="2" applyAlignment="1" pivotButton="0" quotePrefix="0" xfId="0">
      <alignment horizontal="center" vertical="center" wrapText="1"/>
    </xf>
    <xf numFmtId="0" fontId="7" fillId="6" borderId="2" applyAlignment="1" pivotButton="0" quotePrefix="0" xfId="0">
      <alignment horizontal="left" vertical="top" wrapText="1"/>
    </xf>
    <xf numFmtId="0" fontId="9" fillId="6" borderId="2" applyAlignment="1" pivotButton="0" quotePrefix="0" xfId="0">
      <alignment horizontal="left" vertical="top" wrapText="1"/>
    </xf>
    <xf numFmtId="0" fontId="7" fillId="7" borderId="2" applyAlignment="1" pivotButton="0" quotePrefix="0" xfId="0">
      <alignment horizontal="center" vertical="center" wrapText="1"/>
    </xf>
    <xf numFmtId="0" fontId="7" fillId="7" borderId="2" applyAlignment="1" pivotButton="0" quotePrefix="0" xfId="0">
      <alignment horizontal="left" vertical="top" wrapText="1"/>
    </xf>
    <xf numFmtId="0" fontId="9" fillId="7" borderId="2" applyAlignment="1" pivotButton="0" quotePrefix="0" xfId="0">
      <alignment horizontal="left" vertical="top" wrapText="1"/>
    </xf>
    <xf numFmtId="0" fontId="7" fillId="8" borderId="2" applyAlignment="1" pivotButton="0" quotePrefix="0" xfId="0">
      <alignment horizontal="center" vertical="center" wrapText="1"/>
    </xf>
    <xf numFmtId="0" fontId="7" fillId="8" borderId="2" applyAlignment="1" pivotButton="0" quotePrefix="0" xfId="0">
      <alignment horizontal="left" vertical="top" wrapText="1"/>
    </xf>
    <xf numFmtId="0" fontId="9" fillId="8" borderId="2" applyAlignment="1" pivotButton="0" quotePrefix="0" xfId="0">
      <alignment horizontal="left" vertical="top" wrapText="1"/>
    </xf>
    <xf numFmtId="0" fontId="7" fillId="9" borderId="2" applyAlignment="1" pivotButton="0" quotePrefix="0" xfId="0">
      <alignment horizontal="center" vertical="center" wrapText="1"/>
    </xf>
    <xf numFmtId="0" fontId="7" fillId="9" borderId="2" applyAlignment="1" pivotButton="0" quotePrefix="0" xfId="0">
      <alignment horizontal="left" vertical="top" wrapText="1"/>
    </xf>
    <xf numFmtId="0" fontId="9" fillId="9" borderId="2" applyAlignment="1" pivotButton="0" quotePrefix="0" xfId="0">
      <alignment horizontal="left" vertical="top" wrapText="1"/>
    </xf>
    <xf numFmtId="0" fontId="12" fillId="0" borderId="0" pivotButton="0" quotePrefix="0" xfId="0"/>
    <xf numFmtId="0" fontId="7" fillId="0" borderId="2" applyAlignment="1" pivotButton="0" quotePrefix="0" xfId="0">
      <alignment horizontal="left" vertical="center" wrapText="1" indent="1"/>
    </xf>
    <xf numFmtId="0" fontId="7" fillId="10" borderId="2" applyAlignment="1" pivotButton="0" quotePrefix="0" xfId="0">
      <alignment horizontal="left" vertical="center" wrapText="1" indent="1"/>
    </xf>
    <xf numFmtId="0" fontId="7" fillId="10" borderId="2" applyAlignment="1" pivotButton="0" quotePrefix="0" xfId="0">
      <alignment horizontal="center" vertical="center" wrapText="1"/>
    </xf>
    <xf numFmtId="0" fontId="9" fillId="10" borderId="2" applyAlignment="1" pivotButton="0" quotePrefix="0" xfId="0">
      <alignment horizontal="left" vertical="top" wrapText="1"/>
    </xf>
    <xf numFmtId="0" fontId="13" fillId="11" borderId="2" applyAlignment="1" pivotButton="0" quotePrefix="0" xfId="0">
      <alignment horizontal="center" vertical="center" wrapText="1"/>
    </xf>
    <xf numFmtId="0" fontId="7" fillId="0" borderId="2" applyAlignment="1" pivotButton="0" quotePrefix="0" xfId="0">
      <alignment horizontal="left" vertical="top" wrapText="1"/>
    </xf>
    <xf numFmtId="0" fontId="7" fillId="5" borderId="2" applyAlignment="1" pivotButton="0" quotePrefix="0" xfId="0">
      <alignment horizontal="left" vertical="top" wrapText="1"/>
    </xf>
    <xf numFmtId="0" fontId="9" fillId="7" borderId="2" applyAlignment="1" pivotButton="0" quotePrefix="0" xfId="0">
      <alignment horizontal="center" vertical="center" wrapText="1"/>
    </xf>
    <xf numFmtId="0" fontId="9" fillId="8" borderId="2" applyAlignment="1" pivotButton="0" quotePrefix="0" xfId="0">
      <alignment horizontal="center" vertical="center" wrapText="1"/>
    </xf>
    <xf numFmtId="0" fontId="9" fillId="6" borderId="2" applyAlignment="1" pivotButton="0" quotePrefix="0" xfId="0">
      <alignment horizontal="center" vertical="center" wrapText="1"/>
    </xf>
    <xf numFmtId="0" fontId="0" fillId="2" borderId="2" pivotButton="0" quotePrefix="0" xfId="0"/>
    <xf numFmtId="2" fontId="7" fillId="0" borderId="2" applyAlignment="1" pivotButton="0" quotePrefix="0" xfId="0">
      <alignment horizontal="center" vertical="center" wrapText="1"/>
    </xf>
    <xf numFmtId="2" fontId="7" fillId="5" borderId="2" applyAlignment="1" pivotButton="0" quotePrefix="0" xfId="0">
      <alignment horizontal="center" vertical="center" wrapText="1"/>
    </xf>
    <xf numFmtId="2" fontId="7" fillId="8" borderId="2" applyAlignment="1" pivotButton="0" quotePrefix="0" xfId="0">
      <alignment horizontal="center" vertical="center" wrapText="1"/>
    </xf>
    <xf numFmtId="0" fontId="7" fillId="12" borderId="2" applyAlignment="1" pivotButton="0" quotePrefix="0" xfId="0">
      <alignment horizontal="center" vertical="center" wrapText="1"/>
    </xf>
    <xf numFmtId="0" fontId="9" fillId="12" borderId="2" applyAlignment="1" pivotButton="0" quotePrefix="0" xfId="0">
      <alignment horizontal="left" vertical="top" wrapText="1"/>
    </xf>
    <xf numFmtId="0" fontId="9" fillId="12" borderId="2" applyAlignment="1" pivotButton="0" quotePrefix="0" xfId="0">
      <alignment horizontal="center" vertical="center" wrapText="1"/>
    </xf>
    <xf numFmtId="0" fontId="7" fillId="0" borderId="2" pivotButton="0" quotePrefix="0" xfId="0"/>
    <xf numFmtId="0" fontId="9" fillId="0" borderId="2" applyAlignment="1" pivotButton="0" quotePrefix="0" xfId="0">
      <alignment horizontal="left" vertical="center" wrapText="1" indent="1"/>
    </xf>
    <xf numFmtId="0" fontId="0" fillId="0" borderId="2" pivotButton="0" quotePrefix="0" xfId="0"/>
    <xf numFmtId="0" fontId="13" fillId="2" borderId="2" applyAlignment="1" pivotButton="0" quotePrefix="0" xfId="0">
      <alignment horizontal="center" vertical="center" wrapText="1"/>
    </xf>
    <xf numFmtId="0" fontId="9" fillId="5" borderId="2" applyAlignment="1" pivotButton="0" quotePrefix="0" xfId="0">
      <alignment horizontal="left" vertical="center" wrapText="1" indent="1"/>
    </xf>
    <xf numFmtId="0" fontId="13" fillId="13" borderId="2" applyAlignment="1" pivotButton="0" quotePrefix="0" xfId="0">
      <alignment horizontal="center" vertical="center" wrapText="1"/>
    </xf>
    <xf numFmtId="0" fontId="13" fillId="14" borderId="2" applyAlignment="1" pivotButton="0" quotePrefix="0" xfId="0">
      <alignment horizontal="center" vertical="center" wrapText="1"/>
    </xf>
    <xf numFmtId="0" fontId="7" fillId="5" borderId="2" applyAlignment="1" pivotButton="0" quotePrefix="0" xfId="0">
      <alignment horizontal="left" vertical="center" wrapText="1" indent="1"/>
    </xf>
    <xf numFmtId="0" fontId="14" fillId="0" borderId="2" applyAlignment="1" pivotButton="0" quotePrefix="0" xfId="0">
      <alignment horizontal="left" vertical="top" wrapText="1"/>
    </xf>
    <xf numFmtId="0" fontId="14" fillId="5" borderId="2" applyAlignment="1" pivotButton="0" quotePrefix="0" xfId="0">
      <alignment horizontal="left" vertical="top" wrapText="1"/>
    </xf>
    <xf numFmtId="0" fontId="17" fillId="10" borderId="2" applyAlignment="1" pivotButton="0" quotePrefix="0" xfId="0">
      <alignment horizontal="center" vertical="center" wrapText="1"/>
    </xf>
    <xf numFmtId="0" fontId="14" fillId="10" borderId="2" applyAlignment="1" pivotButton="0" quotePrefix="0" xfId="0">
      <alignment horizontal="left" vertical="top" wrapText="1"/>
    </xf>
    <xf numFmtId="0" fontId="21" fillId="15" borderId="7" applyAlignment="1" pivotButton="0" quotePrefix="0" xfId="0">
      <alignment horizontal="center" vertical="center" wrapText="1"/>
    </xf>
    <xf numFmtId="0" fontId="22" fillId="18" borderId="7" applyAlignment="1" pivotButton="0" quotePrefix="0" xfId="0">
      <alignment horizontal="center" vertical="center" wrapText="1"/>
    </xf>
    <xf numFmtId="0" fontId="22" fillId="0" borderId="7" applyAlignment="1" pivotButton="0" quotePrefix="0" xfId="0">
      <alignment horizontal="center" vertical="center" wrapText="1"/>
    </xf>
    <xf numFmtId="0" fontId="23" fillId="0" borderId="7" applyAlignment="1" pivotButton="0" quotePrefix="0" xfId="0">
      <alignment horizontal="left" vertical="top" wrapText="1"/>
    </xf>
    <xf numFmtId="0" fontId="22" fillId="19" borderId="7" applyAlignment="1" pivotButton="0" quotePrefix="0" xfId="0">
      <alignment horizontal="center" vertical="center" wrapText="1"/>
    </xf>
    <xf numFmtId="0" fontId="22" fillId="20" borderId="7" applyAlignment="1" pivotButton="0" quotePrefix="0" xfId="0">
      <alignment horizontal="center" vertical="center" wrapText="1"/>
    </xf>
    <xf numFmtId="0" fontId="22" fillId="21" borderId="7" applyAlignment="1" pivotButton="0" quotePrefix="0" xfId="0">
      <alignment horizontal="center" vertical="center" wrapText="1"/>
    </xf>
    <xf numFmtId="0" fontId="22" fillId="22" borderId="7" applyAlignment="1" pivotButton="0" quotePrefix="0" xfId="0">
      <alignment horizontal="center" vertical="center" wrapText="1"/>
    </xf>
    <xf numFmtId="0" fontId="23" fillId="22" borderId="7" applyAlignment="1" pivotButton="0" quotePrefix="0" xfId="0">
      <alignment horizontal="left" vertical="top" wrapText="1"/>
    </xf>
    <xf numFmtId="0" fontId="27" fillId="23" borderId="8" applyAlignment="1" pivotButton="0" quotePrefix="0" xfId="0">
      <alignment horizontal="center" vertical="center" wrapText="1"/>
    </xf>
    <xf numFmtId="0" fontId="23" fillId="0" borderId="8" applyAlignment="1" pivotButton="0" quotePrefix="0" xfId="0">
      <alignment horizontal="left" vertical="top" wrapText="1"/>
    </xf>
    <xf numFmtId="0" fontId="23" fillId="0" borderId="8" applyAlignment="1" pivotButton="0" quotePrefix="0" xfId="0">
      <alignment horizontal="left" vertical="top" wrapText="1"/>
    </xf>
    <xf numFmtId="0" fontId="0" fillId="0" borderId="0" pivotButton="0" quotePrefix="0" xfId="0"/>
    <xf numFmtId="0" fontId="26" fillId="25" borderId="0" applyAlignment="1" pivotButton="0" quotePrefix="0" xfId="0">
      <alignment horizontal="left" vertical="center" wrapText="1" indent="1"/>
    </xf>
    <xf numFmtId="0" fontId="27" fillId="23" borderId="8" applyAlignment="1" pivotButton="0" quotePrefix="0" xfId="0">
      <alignment horizontal="center" vertical="center" wrapText="1"/>
    </xf>
    <xf numFmtId="0" fontId="24" fillId="23" borderId="0" applyAlignment="1" pivotButton="0" quotePrefix="0" xfId="0">
      <alignment horizontal="center" vertical="center" wrapText="1"/>
    </xf>
    <xf numFmtId="0" fontId="25" fillId="24" borderId="8" applyAlignment="1" pivotButton="0" quotePrefix="0" xfId="0">
      <alignment horizontal="left" vertical="top" wrapText="1"/>
    </xf>
    <xf numFmtId="0" fontId="3" fillId="3" borderId="0" applyAlignment="1" pivotButton="0" quotePrefix="0" xfId="0">
      <alignment horizontal="left" vertical="center" indent="1"/>
    </xf>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4" fillId="4" borderId="1" applyAlignment="1" pivotButton="0" quotePrefix="0" xfId="0">
      <alignment horizontal="left" vertical="top" wrapText="1"/>
    </xf>
    <xf numFmtId="0" fontId="0" fillId="0" borderId="3" pivotButton="0" quotePrefix="0" xfId="0"/>
    <xf numFmtId="0" fontId="15" fillId="4" borderId="1" applyAlignment="1" pivotButton="0" quotePrefix="0" xfId="0">
      <alignment horizontal="left" vertical="top" wrapText="1"/>
    </xf>
    <xf numFmtId="0" fontId="10" fillId="2" borderId="0" applyAlignment="1" pivotButton="0" quotePrefix="0" xfId="0">
      <alignment horizontal="center" vertical="center" wrapText="1"/>
    </xf>
    <xf numFmtId="0" fontId="8" fillId="3" borderId="7" applyAlignment="1" pivotButton="0" quotePrefix="0" xfId="0">
      <alignment horizontal="left" vertical="top" wrapText="1"/>
    </xf>
    <xf numFmtId="0" fontId="0" fillId="0" borderId="4" pivotButton="0" quotePrefix="0" xfId="0"/>
    <xf numFmtId="0" fontId="0" fillId="0" borderId="5" pivotButton="0" quotePrefix="0" xfId="0"/>
    <xf numFmtId="0" fontId="7" fillId="3" borderId="7" applyAlignment="1" pivotButton="0" quotePrefix="0" xfId="0">
      <alignment horizontal="center" vertical="center" wrapText="1"/>
    </xf>
    <xf numFmtId="0" fontId="16" fillId="2" borderId="0" applyAlignment="1" pivotButton="0" quotePrefix="0" xfId="0">
      <alignment horizontal="center" vertical="center" wrapText="1"/>
    </xf>
    <xf numFmtId="0" fontId="7" fillId="10" borderId="7" applyAlignment="1" pivotButton="0" quotePrefix="0" xfId="0">
      <alignment horizontal="left" vertical="center" wrapText="1" indent="1"/>
    </xf>
    <xf numFmtId="0" fontId="3" fillId="3" borderId="0" applyAlignment="1" pivotButton="0" quotePrefix="0" xfId="0">
      <alignment horizontal="left" vertical="center" wrapText="1" indent="1"/>
    </xf>
    <xf numFmtId="0" fontId="7" fillId="0" borderId="7" applyAlignment="1" pivotButton="0" quotePrefix="0" xfId="0">
      <alignment horizontal="left" vertical="center" wrapText="1" indent="1"/>
    </xf>
    <xf numFmtId="0" fontId="7" fillId="0" borderId="1" applyAlignment="1" pivotButton="0" quotePrefix="0" xfId="0">
      <alignment horizontal="center" vertical="center" wrapText="1"/>
    </xf>
    <xf numFmtId="0" fontId="9" fillId="0" borderId="1" applyAlignment="1" pivotButton="0" quotePrefix="0" xfId="0">
      <alignment horizontal="left" vertical="top" wrapText="1"/>
    </xf>
    <xf numFmtId="0" fontId="9" fillId="5" borderId="1" applyAlignment="1" pivotButton="0" quotePrefix="0" xfId="0">
      <alignment horizontal="left" vertical="top" wrapText="1"/>
    </xf>
    <xf numFmtId="0" fontId="5" fillId="2" borderId="7" applyAlignment="1" pivotButton="0" quotePrefix="0" xfId="0">
      <alignment horizontal="center" vertical="center" wrapText="1"/>
    </xf>
    <xf numFmtId="0" fontId="0" fillId="0" borderId="6" pivotButton="0" quotePrefix="0" xfId="0"/>
    <xf numFmtId="0" fontId="13" fillId="11" borderId="1" applyAlignment="1" pivotButton="0" quotePrefix="0" xfId="0">
      <alignment horizontal="center" vertical="center" wrapText="1"/>
    </xf>
    <xf numFmtId="0" fontId="7" fillId="7" borderId="7" applyAlignment="1" pivotButton="0" quotePrefix="0" xfId="0">
      <alignment horizontal="center" vertical="center" wrapText="1"/>
    </xf>
    <xf numFmtId="0" fontId="7"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9" fillId="0" borderId="7" applyAlignment="1" pivotButton="0" quotePrefix="0" xfId="0">
      <alignment horizontal="left" vertical="top" wrapText="1"/>
    </xf>
    <xf numFmtId="0" fontId="7" fillId="8" borderId="7" applyAlignment="1" pivotButton="0" quotePrefix="0" xfId="0">
      <alignment horizontal="center" vertical="center" wrapText="1"/>
    </xf>
    <xf numFmtId="0" fontId="19" fillId="16" borderId="7" applyAlignment="1" pivotButton="0" quotePrefix="0" xfId="0">
      <alignment horizontal="left" vertical="top" wrapText="1"/>
    </xf>
    <xf numFmtId="0" fontId="18" fillId="15" borderId="0" applyAlignment="1" pivotButton="0" quotePrefix="0" xfId="0">
      <alignment horizontal="center" vertical="center" wrapText="1"/>
    </xf>
    <xf numFmtId="0" fontId="20" fillId="17" borderId="0" applyAlignment="1" pivotButton="0" quotePrefix="0" xfId="0">
      <alignment horizontal="left" vertical="center" wrapText="1" indent="1"/>
    </xf>
    <xf numFmtId="0" fontId="5" fillId="14" borderId="0" applyAlignment="1" pivotButton="0" quotePrefix="0" xfId="0">
      <alignment horizontal="center" vertical="center" wrapText="1"/>
    </xf>
    <xf numFmtId="0" fontId="5" fillId="2" borderId="0" applyAlignment="1" pivotButton="0" quotePrefix="0" xfId="0">
      <alignment horizontal="center" vertical="center" wrapText="1"/>
    </xf>
    <xf numFmtId="0" fontId="7" fillId="4" borderId="0" applyAlignment="1" pivotButton="0" quotePrefix="0" xfId="0">
      <alignment horizontal="left" vertical="center" wrapText="1" indent="1"/>
    </xf>
    <xf numFmtId="0" fontId="5" fillId="11" borderId="0" applyAlignment="1" pivotButton="0" quotePrefix="0" xfId="0">
      <alignment horizontal="center" vertical="center" wrapText="1"/>
    </xf>
    <xf numFmtId="0" fontId="5" fillId="13" borderId="0" applyAlignment="1" pivotButton="0" quotePrefix="0" xfId="0">
      <alignment horizontal="center" vertical="center" wrapText="1"/>
    </xf>
    <xf numFmtId="0" fontId="1" fillId="2" borderId="0" applyAlignment="1" pivotButton="0" quotePrefix="0" xfId="0">
      <alignment horizontal="left" vertical="center" wrapText="1" indent="1"/>
    </xf>
    <xf numFmtId="0" fontId="9" fillId="0" borderId="7" applyAlignment="1" pivotButton="0" quotePrefix="0" xfId="0">
      <alignment horizontal="left" vertical="center" wrapText="1" indent="1"/>
    </xf>
    <xf numFmtId="0" fontId="7" fillId="3" borderId="8" applyAlignment="1" pivotButton="0" quotePrefix="0" xfId="0">
      <alignment horizontal="center" vertical="center" wrapText="1"/>
    </xf>
    <xf numFmtId="0" fontId="8" fillId="3" borderId="8" applyAlignment="1" pivotButton="0" quotePrefix="0" xfId="0">
      <alignment horizontal="left" vertical="top" wrapText="1"/>
    </xf>
    <xf numFmtId="0" fontId="7" fillId="10" borderId="8" applyAlignment="1" pivotButton="0" quotePrefix="0" xfId="0">
      <alignment horizontal="left" vertical="center" wrapText="1" indent="1"/>
    </xf>
    <xf numFmtId="0" fontId="7" fillId="0" borderId="8" applyAlignment="1" pivotButton="0" quotePrefix="0" xfId="0">
      <alignment horizontal="left" vertical="center" wrapText="1" indent="1"/>
    </xf>
    <xf numFmtId="0" fontId="5" fillId="2" borderId="8" applyAlignment="1" pivotButton="0" quotePrefix="0" xfId="0">
      <alignment horizontal="center" vertical="center" wrapText="1"/>
    </xf>
    <xf numFmtId="0" fontId="7" fillId="0" borderId="8" applyAlignment="1" pivotButton="0" quotePrefix="0" xfId="0">
      <alignment horizontal="center" vertical="center" wrapText="1"/>
    </xf>
    <xf numFmtId="0" fontId="9" fillId="0" borderId="8" applyAlignment="1" pivotButton="0" quotePrefix="0" xfId="0">
      <alignment horizontal="left" vertical="top" wrapText="1"/>
    </xf>
    <xf numFmtId="0" fontId="7" fillId="6" borderId="8" applyAlignment="1" pivotButton="0" quotePrefix="0" xfId="0">
      <alignment horizontal="center" vertical="center" wrapText="1"/>
    </xf>
    <xf numFmtId="0" fontId="7" fillId="7" borderId="8" applyAlignment="1" pivotButton="0" quotePrefix="0" xfId="0">
      <alignment horizontal="center" vertical="center" wrapText="1"/>
    </xf>
    <xf numFmtId="0" fontId="7" fillId="8" borderId="8" applyAlignment="1" pivotButton="0" quotePrefix="0" xfId="0">
      <alignment horizontal="center" vertical="center" wrapText="1"/>
    </xf>
    <xf numFmtId="0" fontId="19" fillId="16" borderId="8" applyAlignment="1" pivotButton="0" quotePrefix="0" xfId="0">
      <alignment horizontal="left" vertical="top" wrapText="1"/>
    </xf>
    <xf numFmtId="0" fontId="28" fillId="26" borderId="0" applyAlignment="1" pivotButton="0" quotePrefix="0" xfId="0">
      <alignment horizontal="center" vertical="center" wrapText="1"/>
    </xf>
    <xf numFmtId="0" fontId="29" fillId="27" borderId="12" applyAlignment="1" pivotButton="0" quotePrefix="0" xfId="0">
      <alignment horizontal="left" vertical="top" wrapText="1"/>
    </xf>
    <xf numFmtId="0" fontId="30" fillId="28" borderId="0" applyAlignment="1" pivotButton="0" quotePrefix="0" xfId="0">
      <alignment horizontal="left" vertical="center" wrapText="1" indent="1"/>
    </xf>
    <xf numFmtId="0" fontId="31" fillId="26" borderId="12" applyAlignment="1" pivotButton="0" quotePrefix="0" xfId="0">
      <alignment horizontal="center" vertical="center" wrapText="1"/>
    </xf>
    <xf numFmtId="0" fontId="23" fillId="0" borderId="12" applyAlignment="1" pivotButton="0" quotePrefix="0" xfId="0">
      <alignment horizontal="left" vertical="top" wrapText="1"/>
    </xf>
    <xf numFmtId="0" fontId="9" fillId="0" borderId="8" applyAlignment="1" pivotButton="0" quotePrefix="0" xfId="0">
      <alignment horizontal="left" vertical="center" wrapText="1" inden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twoCellAnchor editAs="oneCell">
    <from>
      <col>0</col>
      <colOff>0</colOff>
      <row>19</row>
      <rowOff>0</rowOff>
    </from>
    <to>
      <col>11</col>
      <colOff>56520</colOff>
      <row>46</row>
      <rowOff>142200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7448400"/>
          <a:ext cx="10276920" cy="63144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oneCellAnchor>
    <from>
      <col>0</col>
      <colOff>0</colOff>
      <row>6</row>
      <rowOff>0</rowOff>
    </from>
    <ext cx="12849225" cy="7105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40</row>
      <rowOff>0</rowOff>
    </from>
    <ext cx="12849225" cy="7105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74</row>
      <rowOff>0</rowOff>
    </from>
    <ext cx="12849225" cy="7105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108</row>
      <rowOff>0</rowOff>
    </from>
    <ext cx="12849225" cy="71056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142</row>
      <rowOff>0</rowOff>
    </from>
    <ext cx="12849225" cy="71056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176</row>
      <rowOff>0</rowOff>
    </from>
    <ext cx="12849225" cy="71056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0</col>
      <colOff>0</colOff>
      <row>16</row>
      <rowOff>0</rowOff>
    </from>
    <to>
      <col>13</col>
      <colOff>147960</colOff>
      <row>46</row>
      <rowOff>56520</rowOff>
    </to>
    <pic>
      <nvPicPr>
        <cNvPr id="7"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6343560"/>
          <a:ext cx="11734200" cy="577152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_rels/sheet17.xml.rels><Relationships xmlns="http://schemas.openxmlformats.org/package/2006/relationships"><Relationship Type="http://schemas.openxmlformats.org/officeDocument/2006/relationships/drawing" Target="/xl/drawings/drawing2.xml" Id="rId1"/></Relationships>
</file>

<file path=xl/worksheets/_rels/sheet2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D42"/>
  <sheetViews>
    <sheetView showGridLines="0" zoomScale="76" zoomScaleNormal="76" workbookViewId="0">
      <pane ySplit="3" topLeftCell="A23" activePane="bottomLeft" state="frozen"/>
      <selection pane="bottomLeft" activeCell="C42" sqref="C42"/>
    </sheetView>
  </sheetViews>
  <sheetFormatPr baseColWidth="10" defaultColWidth="8.703125" defaultRowHeight="14.35"/>
  <cols>
    <col width="12.29296875" customWidth="1" style="70" min="1" max="1"/>
    <col width="28" customWidth="1" style="70" min="2" max="2"/>
    <col width="70" customWidth="1" style="70" min="3" max="3"/>
    <col width="25" customWidth="1" style="70" min="4" max="4"/>
  </cols>
  <sheetData>
    <row r="1" ht="27.75" customHeight="1" s="70">
      <c r="A1" s="76" t="inlineStr">
        <is>
          <t>Analyse de risque EBIOS RM : Classeur de travail</t>
        </is>
      </c>
    </row>
    <row r="2" ht="27.75" customHeight="1" s="70"/>
    <row r="4" ht="15.75" customHeight="1" s="70">
      <c r="A4" s="77" t="inlineStr">
        <is>
          <t>Projet 07 : UniCampus+   |   Cours 4CS08 - Analyse de risques  |   Méthode EBIOS Risk Manager</t>
        </is>
      </c>
    </row>
    <row r="6" ht="21.75" customHeight="1" s="70">
      <c r="A6" s="75" t="inlineStr">
        <is>
          <t>1. Composition du groupe</t>
        </is>
      </c>
    </row>
    <row r="7" ht="90" customHeight="1" s="70">
      <c r="A7" s="78" t="inlineStr">
        <is>
          <t>Virgile Thonnier
Timoté Lacambra
Jeremy Giudicelli
Ghislain Maugenest</t>
        </is>
      </c>
      <c r="B7" s="79" t="n"/>
      <c r="C7" s="79" t="n"/>
      <c r="D7" s="79" t="n"/>
    </row>
    <row r="9" ht="21.75" customHeight="1" s="70">
      <c r="A9" s="75" t="inlineStr">
        <is>
          <t>2. Méthode utilisée pour la réalisation de l'analyse de risque : les 5 ateliers EBIOS RM</t>
        </is>
      </c>
    </row>
    <row r="10" ht="27.75" customHeight="1" s="70">
      <c r="A10" s="1" t="inlineStr">
        <is>
          <t>Atelier</t>
        </is>
      </c>
      <c r="B10" s="1" t="inlineStr">
        <is>
          <t>Intitulé</t>
        </is>
      </c>
      <c r="C10" s="1" t="inlineStr">
        <is>
          <t>Objet</t>
        </is>
      </c>
      <c r="D10" s="2" t="inlineStr">
        <is>
          <t>Sortie(s)  principale(s)</t>
        </is>
      </c>
    </row>
    <row r="11" ht="48" customHeight="1" s="70">
      <c r="A11" s="3" t="inlineStr">
        <is>
          <t>A1</t>
        </is>
      </c>
      <c r="B11" s="4" t="inlineStr">
        <is>
          <t xml:space="preserve"> Portée et référentiel de sécurité</t>
        </is>
      </c>
      <c r="C11" s="5" t="inlineStr">
        <is>
          <t>Définir le périmètre, les missions, les valeurs métier, les biens supports, les événements redoutés (ER) et leur gravité</t>
        </is>
      </c>
      <c r="D11" s="6" t="inlineStr">
        <is>
          <t>Portée opérationnelle et techniques
ER et niveaux de gravité</t>
        </is>
      </c>
    </row>
    <row r="12" ht="48" customHeight="1" s="70">
      <c r="A12" s="7" t="inlineStr">
        <is>
          <t>A2</t>
        </is>
      </c>
      <c r="B12" s="8" t="inlineStr">
        <is>
          <t>Origines des risques</t>
        </is>
      </c>
      <c r="C12" s="8" t="inlineStr">
        <is>
          <t>Identifier les couples Source de risque / Objectif visé (SR/OV) et leur pertinence.</t>
        </is>
      </c>
      <c r="D12" s="8" t="inlineStr">
        <is>
          <t>Couples SR/OV retenus
Couples SR/OV surveillés
Liens SR/OV - ER</t>
        </is>
      </c>
    </row>
    <row r="13" ht="77" customHeight="1" s="70">
      <c r="A13" s="3" t="inlineStr">
        <is>
          <t>A3</t>
        </is>
      </c>
      <c r="B13" s="5" t="inlineStr">
        <is>
          <t>Scénarios stratégiques</t>
        </is>
      </c>
      <c r="C13" s="5" t="inlineStr">
        <is>
          <t>Identification des parties prenantes clés de l'écosystème et élaboration de
scénarios de risque de haut niveau</t>
        </is>
      </c>
      <c r="D13" s="5" t="inlineStr">
        <is>
          <t>Cartographie des menaces
pesant sur l'écosystème
Scénarios stratégiques
Mesures de sécurité mises
en place pour l'écosystème</t>
        </is>
      </c>
    </row>
    <row r="14" ht="48" customHeight="1" s="70">
      <c r="A14" s="7" t="inlineStr">
        <is>
          <t>A4</t>
        </is>
      </c>
      <c r="B14" s="8" t="inlineStr">
        <is>
          <t>Scénarios opérationnels</t>
        </is>
      </c>
      <c r="C14" s="8" t="inlineStr">
        <is>
          <t>Élaborer des scénarios opérationnels décrivant les procédures techniques qui seront mises en œuvre par les sources de risque</t>
        </is>
      </c>
      <c r="D14" s="9" t="inlineStr">
        <is>
          <t>Scénarios opérationnels
Évaluation de la probabilité
des scénarios opérationnels</t>
        </is>
      </c>
    </row>
    <row r="15" ht="48" customHeight="1" s="70">
      <c r="A15" s="3" t="inlineStr">
        <is>
          <t>A5</t>
        </is>
      </c>
      <c r="B15" s="5" t="inlineStr">
        <is>
          <t>Traitement du risque</t>
        </is>
      </c>
      <c r="C15" s="5" t="inlineStr">
        <is>
          <t>Placer les risques sur la matrice gravité × vraisemblance, décider du traitement, planifier les mesures.</t>
        </is>
      </c>
      <c r="D15" s="4" t="inlineStr">
        <is>
          <t>Plan de traitement 
Risque résiduel</t>
        </is>
      </c>
    </row>
    <row r="17" ht="21.75" customHeight="1" s="70">
      <c r="A17" s="75" t="inlineStr">
        <is>
          <t>3. Plan du classeur</t>
        </is>
      </c>
    </row>
    <row r="18" ht="24" customHeight="1" s="70">
      <c r="A18" s="1" t="inlineStr">
        <is>
          <t>Onglet</t>
        </is>
      </c>
      <c r="B18" s="1" t="inlineStr">
        <is>
          <t>Atelier</t>
        </is>
      </c>
      <c r="C18" s="1" t="inlineStr">
        <is>
          <t>Contenu</t>
        </is>
      </c>
      <c r="D18" s="1" t="inlineStr">
        <is>
          <t>État</t>
        </is>
      </c>
    </row>
    <row r="19" ht="21.75" customHeight="1" s="70">
      <c r="A19" s="4" t="inlineStr">
        <is>
          <t>Introduction</t>
        </is>
      </c>
      <c r="B19" s="10" t="inlineStr">
        <is>
          <t>A0</t>
        </is>
      </c>
      <c r="C19" s="5" t="inlineStr">
        <is>
          <t>Méthodologie, conventions, plan du classeur</t>
        </is>
      </c>
      <c r="D19" s="5" t="inlineStr">
        <is>
          <t>Rempli</t>
        </is>
      </c>
    </row>
    <row r="20" ht="29" customHeight="1" s="70">
      <c r="A20" s="8" t="inlineStr">
        <is>
          <t>A1.0 Périmètre</t>
        </is>
      </c>
      <c r="B20" s="11" t="inlineStr">
        <is>
          <t>A1</t>
        </is>
      </c>
      <c r="C20" s="8" t="inlineStr">
        <is>
          <t>Cadre de l'étude, périmètres métier et technique, participants</t>
        </is>
      </c>
      <c r="D20" s="8" t="inlineStr">
        <is>
          <t>Rempli</t>
        </is>
      </c>
    </row>
    <row r="21" ht="31.35" customHeight="1" s="70">
      <c r="A21" s="5" t="inlineStr">
        <is>
          <t>A1.1 Missions &amp; VM</t>
        </is>
      </c>
      <c r="B21" s="10" t="inlineStr">
        <is>
          <t>A1</t>
        </is>
      </c>
      <c r="C21" s="5" t="inlineStr">
        <is>
          <t>Missions, valeurs métier (nature, description)</t>
        </is>
      </c>
      <c r="D21" s="5" t="inlineStr">
        <is>
          <t>Rempli</t>
        </is>
      </c>
    </row>
    <row r="22" ht="30" customHeight="1" s="70">
      <c r="A22" s="8" t="inlineStr">
        <is>
          <t>A1.2 Biens supports</t>
        </is>
      </c>
      <c r="B22" s="11" t="inlineStr">
        <is>
          <t>A1</t>
        </is>
      </c>
      <c r="C22" s="8" t="inlineStr">
        <is>
          <t>Biens supports par VM (valeurs métier), descriptions, responsables</t>
        </is>
      </c>
      <c r="D22" s="8" t="inlineStr">
        <is>
          <t>Rempli</t>
        </is>
      </c>
    </row>
    <row r="23" ht="25.7" customHeight="1" s="70">
      <c r="A23" s="5" t="inlineStr">
        <is>
          <t>A1.3 Échelle de gravité</t>
        </is>
      </c>
      <c r="B23" s="10" t="inlineStr">
        <is>
          <t>A1</t>
        </is>
      </c>
      <c r="C23" s="5" t="inlineStr">
        <is>
          <t>Échelle et critères de classification de gravité calibrée pour Unicampus (G1 à G4)</t>
        </is>
      </c>
      <c r="D23" s="5" t="inlineStr">
        <is>
          <t>Rempli</t>
        </is>
      </c>
    </row>
    <row r="24" ht="29" customHeight="1" s="70">
      <c r="A24" s="8" t="inlineStr">
        <is>
          <t>A1.4 Événements redoutés</t>
        </is>
      </c>
      <c r="B24" s="11" t="inlineStr">
        <is>
          <t>A1</t>
        </is>
      </c>
      <c r="C24" s="8" t="inlineStr">
        <is>
          <t>ER rattachés aux VM, cotation sur l'échelle</t>
        </is>
      </c>
      <c r="D24" s="8" t="inlineStr">
        <is>
          <t>Rempli</t>
        </is>
      </c>
    </row>
    <row r="25" ht="25.5" customHeight="1" s="70">
      <c r="A25" s="5" t="inlineStr">
        <is>
          <t>A2.0 Échelle de pertinence</t>
        </is>
      </c>
      <c r="B25" s="10" t="inlineStr">
        <is>
          <t>A2</t>
        </is>
      </c>
      <c r="C25" s="5" t="inlineStr">
        <is>
          <t xml:space="preserve">Matrice de pertinence des couples SR/OV </t>
        </is>
      </c>
      <c r="D25" s="5" t="inlineStr">
        <is>
          <t>Rempli</t>
        </is>
      </c>
    </row>
    <row r="26" ht="25.5" customHeight="1" s="70">
      <c r="A26" s="8" t="inlineStr">
        <is>
          <t>A2.1 Sources de risque</t>
        </is>
      </c>
      <c r="B26" s="11" t="inlineStr">
        <is>
          <t>A2</t>
        </is>
      </c>
      <c r="C26" s="8" t="inlineStr">
        <is>
          <t>Typologie des 5 sources de risque retenues avec profils</t>
        </is>
      </c>
      <c r="D26" s="8" t="inlineStr">
        <is>
          <t>Rempli</t>
        </is>
      </c>
    </row>
    <row r="27" ht="25.5" customHeight="1" s="70">
      <c r="A27" s="5" t="inlineStr">
        <is>
          <t>A2.2 Couples SR-OV</t>
        </is>
      </c>
      <c r="B27" s="10" t="inlineStr">
        <is>
          <t>A2</t>
        </is>
      </c>
      <c r="C27" s="5" t="inlineStr">
        <is>
          <t>Couples évalués (motivation, ressources, pertinence calculée, décision)</t>
        </is>
      </c>
      <c r="D27" s="5" t="inlineStr">
        <is>
          <t>Rempli</t>
        </is>
      </c>
    </row>
    <row r="28" ht="25.5" customHeight="1" s="70">
      <c r="A28" s="8" t="inlineStr">
        <is>
          <t>A2.3 Liens couples - ER</t>
        </is>
      </c>
      <c r="B28" s="11" t="inlineStr">
        <is>
          <t>A2</t>
        </is>
      </c>
      <c r="C28" s="8" t="inlineStr">
        <is>
          <t>Synthèse rapprochant les ER de A1.4 et les couples SR/OV</t>
        </is>
      </c>
      <c r="D28" s="8" t="inlineStr">
        <is>
          <t>Rempli</t>
        </is>
      </c>
    </row>
    <row r="29" ht="25.5" customHeight="1" s="70">
      <c r="A29" s="5" t="inlineStr">
        <is>
          <t>A3.0 Critères de dangerosité</t>
        </is>
      </c>
      <c r="B29" s="10" t="inlineStr">
        <is>
          <t>A3</t>
        </is>
      </c>
      <c r="C29" s="54" t="inlineStr">
        <is>
          <t>Echelle pour l'analyse du risque induit par les parties prenantes (PP) avec les critères de pénétration, dépendance, maturité  et confiance</t>
        </is>
      </c>
      <c r="D29" s="5" t="inlineStr">
        <is>
          <t>Rempli</t>
        </is>
      </c>
    </row>
    <row r="30" ht="25.5" customHeight="1" s="70">
      <c r="A30" s="8" t="inlineStr">
        <is>
          <t>A3.1 Parties prenantes</t>
        </is>
      </c>
      <c r="B30" s="11" t="inlineStr">
        <is>
          <t>A3</t>
        </is>
      </c>
      <c r="C30" s="8" t="inlineStr">
        <is>
          <t>Typologie des 7 PP externes (4 partenaires + 3 prestataires)</t>
        </is>
      </c>
      <c r="D30" s="8" t="inlineStr">
        <is>
          <t>Rempli</t>
        </is>
      </c>
    </row>
    <row r="31" ht="25.5" customHeight="1" s="70">
      <c r="A31" s="5" t="inlineStr">
        <is>
          <t>A3.2 Cartographie dangerosité</t>
        </is>
      </c>
      <c r="B31" s="10" t="inlineStr">
        <is>
          <t>A3</t>
        </is>
      </c>
      <c r="C31" s="54" t="inlineStr">
        <is>
          <t>Évaluation 4 critères, dangerosité calculée, identification des PPC, radar visuel</t>
        </is>
      </c>
      <c r="D31" s="5" t="inlineStr">
        <is>
          <t>Rempli</t>
        </is>
      </c>
    </row>
    <row r="32" ht="25.5" customHeight="1" s="70">
      <c r="A32" s="8" t="inlineStr">
        <is>
          <t>A3.3 Scénarios stratégiques</t>
        </is>
      </c>
      <c r="B32" s="11" t="inlineStr">
        <is>
          <t>A3</t>
        </is>
      </c>
      <c r="C32" s="8" t="inlineStr">
        <is>
          <t>6 scénarios (un par couple Retenu de A2.2) avec chemins d'attaque numérotés</t>
        </is>
      </c>
      <c r="D32" s="8" t="inlineStr">
        <is>
          <t>Rempli</t>
        </is>
      </c>
    </row>
    <row r="33" ht="25.5" customHeight="1" s="70">
      <c r="A33" s="5" t="inlineStr">
        <is>
          <t>A3.4 Mesures écosystème</t>
        </is>
      </c>
      <c r="B33" s="10" t="inlineStr">
        <is>
          <t>A3</t>
        </is>
      </c>
      <c r="C33" s="5" t="inlineStr">
        <is>
          <t>Mesures par PPC avec dangerosité initiale et résiduelle</t>
        </is>
      </c>
      <c r="D33" s="5" t="inlineStr">
        <is>
          <t>Rempli</t>
        </is>
      </c>
    </row>
    <row r="34" ht="25.5" customHeight="1" s="70">
      <c r="A34" s="5" t="inlineStr">
        <is>
          <t>A4.0 Échelle vraisemblance</t>
        </is>
      </c>
      <c r="B34" s="10" t="inlineStr">
        <is>
          <t>A4</t>
        </is>
      </c>
      <c r="C34" s="54" t="inlineStr">
        <is>
          <t>Échelle V1 à V4 de la vraissemblance</t>
        </is>
      </c>
      <c r="D34" s="5" t="inlineStr">
        <is>
          <t>Rempli</t>
        </is>
      </c>
    </row>
    <row r="35" ht="25.5" customHeight="1" s="70">
      <c r="A35" s="8" t="inlineStr">
        <is>
          <t>A4.1 Graphes d'attaque</t>
        </is>
      </c>
      <c r="B35" s="11" t="inlineStr">
        <is>
          <t>A4</t>
        </is>
      </c>
      <c r="C35" s="8" t="inlineStr">
        <is>
          <t>6 scénarios opérationnels avec graphes d'attaque détaillés (4-6 actions par phase, chemin retenu en rouge)</t>
        </is>
      </c>
      <c r="D35" s="8" t="inlineStr">
        <is>
          <t>Rempli</t>
        </is>
      </c>
    </row>
    <row r="36" ht="25.5" customHeight="1" s="70">
      <c r="A36" s="5" t="inlineStr">
        <is>
          <t>A4.2 Synthèse vraisemblance</t>
        </is>
      </c>
      <c r="B36" s="10" t="inlineStr">
        <is>
          <t>A4</t>
        </is>
      </c>
      <c r="C36" s="5" t="inlineStr">
        <is>
          <t>Tableau récapitulatif (G, V) prêt pour A5</t>
        </is>
      </c>
      <c r="D36" s="5" t="inlineStr">
        <is>
          <t>Rempli</t>
        </is>
      </c>
    </row>
    <row r="37" ht="25.5" customHeight="1" s="70">
      <c r="A37" s="5" t="inlineStr">
        <is>
          <t>A5.0 Matrice et acceptation</t>
        </is>
      </c>
      <c r="B37" s="10" t="inlineStr">
        <is>
          <t>A5</t>
        </is>
      </c>
      <c r="C37" s="5" t="inlineStr">
        <is>
          <t>Matrice 4×4 G × V + 3 classes d'acceptabilité ANSSI</t>
        </is>
      </c>
      <c r="D37" s="5" t="inlineStr">
        <is>
          <t>Rempli</t>
        </is>
      </c>
    </row>
    <row r="38" ht="25.5" customHeight="1" s="70">
      <c r="A38" s="8" t="inlineStr">
        <is>
          <t>A5.1 Cartographies du risque</t>
        </is>
      </c>
      <c r="B38" s="11" t="inlineStr">
        <is>
          <t>A5</t>
        </is>
      </c>
      <c r="C38" s="8" t="inlineStr">
        <is>
          <t>Cartographies initiale et résiduelle des 6 risques</t>
        </is>
      </c>
      <c r="D38" s="8" t="inlineStr">
        <is>
          <t>Rempli</t>
        </is>
      </c>
    </row>
    <row r="39" ht="25.5" customHeight="1" s="70">
      <c r="A39" s="5" t="inlineStr">
        <is>
          <t>A5.2 Stratégie de traitement</t>
        </is>
      </c>
      <c r="B39" s="10" t="inlineStr">
        <is>
          <t>A5</t>
        </is>
      </c>
      <c r="C39" s="54" t="inlineStr">
        <is>
          <t xml:space="preserve">Décision de traitement par risque </t>
        </is>
      </c>
      <c r="D39" s="5" t="inlineStr">
        <is>
          <t>Rempli</t>
        </is>
      </c>
    </row>
    <row r="40" ht="25.5" customHeight="1" s="70">
      <c r="A40" s="8" t="inlineStr">
        <is>
          <t>A5.3 Plan de traitement</t>
        </is>
      </c>
      <c r="B40" s="11" t="inlineStr">
        <is>
          <t>A5</t>
        </is>
      </c>
      <c r="C40" s="8" t="inlineStr">
        <is>
          <t>26 mesures réparties en Gouvernance / Protection / Défense / Résilience</t>
        </is>
      </c>
      <c r="D40" s="8" t="inlineStr">
        <is>
          <t>Rempli</t>
        </is>
      </c>
    </row>
    <row r="41" ht="25.5" customHeight="1" s="70">
      <c r="A41" s="5" t="inlineStr">
        <is>
          <t>A5.4 Risques résiduels</t>
        </is>
      </c>
      <c r="B41" s="10" t="inlineStr">
        <is>
          <t>A5</t>
        </is>
      </c>
      <c r="C41" s="54" t="inlineStr">
        <is>
          <t>Fiches détaillées RR01-RR06 (format ANSSI p.78)</t>
        </is>
      </c>
      <c r="D41" s="5" t="inlineStr">
        <is>
          <t>Rempli</t>
        </is>
      </c>
    </row>
    <row r="42" ht="25.5" customHeight="1" s="70">
      <c r="A42" s="8" t="inlineStr">
        <is>
          <t>A5.5 Cadre de suivi</t>
        </is>
      </c>
      <c r="B42" s="11" t="inlineStr">
        <is>
          <t>A5</t>
        </is>
      </c>
      <c r="C42" s="8" t="inlineStr">
        <is>
          <t>Indicateurs, comités, déclencheurs de mise à jour</t>
        </is>
      </c>
      <c r="D42" s="8" t="inlineStr">
        <is>
          <t>Rempli</t>
        </is>
      </c>
    </row>
  </sheetData>
  <mergeCells count="6">
    <mergeCell ref="A17:D17"/>
    <mergeCell ref="A1:D2"/>
    <mergeCell ref="A9:D9"/>
    <mergeCell ref="A6:D6"/>
    <mergeCell ref="A4:D4"/>
    <mergeCell ref="A7:D7"/>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12"/>
  <sheetViews>
    <sheetView showGridLines="0" zoomScaleNormal="100" workbookViewId="0">
      <pane ySplit="3" topLeftCell="A4" activePane="bottomLeft" state="frozen"/>
      <selection pane="bottomLeft" activeCell="A4" sqref="A4:C4"/>
    </sheetView>
  </sheetViews>
  <sheetFormatPr baseColWidth="10" defaultColWidth="8.703125" defaultRowHeight="14.35"/>
  <cols>
    <col width="4" customWidth="1" style="70" min="1" max="1"/>
    <col width="30" customWidth="1" style="70" min="2" max="2"/>
    <col width="100" customWidth="1" style="70" min="3" max="3"/>
  </cols>
  <sheetData>
    <row r="1" ht="25.5" customHeight="1" s="70">
      <c r="A1" s="81" t="inlineStr">
        <is>
          <t>A1.0 - Cadre et périmètre de l'étude</t>
        </is>
      </c>
    </row>
    <row r="2" ht="25.5" customHeight="1" s="70"/>
    <row r="4" ht="43.5" customHeight="1" s="70">
      <c r="A4" s="80" t="inlineStr">
        <is>
          <t>Sortie attendue de la partie cadrage de l'atelier 1 : description du périmètre métier et technique, et liste des participants (réels ou cibles) de l'analyse de risque.</t>
        </is>
      </c>
      <c r="B4" s="79" t="n"/>
      <c r="C4" s="79" t="n"/>
    </row>
    <row r="6" ht="21.75" customHeight="1" s="70">
      <c r="A6" s="75" t="inlineStr">
        <is>
          <t>Éléments de cadrage</t>
        </is>
      </c>
    </row>
    <row r="7" ht="24" customHeight="1" s="70">
      <c r="A7" s="1" t="n"/>
      <c r="B7" s="1" t="inlineStr">
        <is>
          <t>Élément</t>
        </is>
      </c>
      <c r="C7" s="1" t="inlineStr">
        <is>
          <t>Description</t>
        </is>
      </c>
    </row>
    <row r="8" ht="87.75" customHeight="1" s="70">
      <c r="A8" s="3" t="n">
        <v>1</v>
      </c>
      <c r="B8" s="12" t="inlineStr">
        <is>
          <t>Objet d'étude</t>
        </is>
      </c>
      <c r="C8" s="5" t="inlineStr">
        <is>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is>
      </c>
    </row>
    <row r="9" ht="132" customHeight="1" s="70">
      <c r="A9" s="3" t="n">
        <v>2</v>
      </c>
      <c r="B9" s="12" t="inlineStr">
        <is>
          <t>Périmètre métier</t>
        </is>
      </c>
      <c r="C9" s="5" t="inlineStr">
        <is>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is>
      </c>
    </row>
    <row r="10" ht="132" customHeight="1" s="70">
      <c r="A10" s="3" t="n">
        <v>3</v>
      </c>
      <c r="B10" s="12" t="inlineStr">
        <is>
          <t>Périmètre technique</t>
        </is>
      </c>
      <c r="C10" s="54" t="inlineStr">
        <is>
          <t>Périmètre technique modélisé dans la maquette v1 (état de la maquette au moment de la réalisation de l'analyse; nous serons éventuellement ammené à reduire le nombre de machines virtuelles et donc à condenser les biens support sur certaines machines) : 
11 machines virtuelles sur un seul subnet (192.168.107.0/24) 
1 firewall périmétrique (`uc-fw-legacy`)
1 VPN d'accès distant (`uc-vpn-legacy`)
5 serveurs applicatifs (Moodle, mail, LDAP, RH, recherche)
1 base de données back-end RH (`uc-db-rh`)
3 postes clients (étudiant, enseignant, DSI)</t>
        </is>
      </c>
    </row>
    <row r="11" ht="153.75" customHeight="1" s="70">
      <c r="A11" s="3" t="n">
        <v>4</v>
      </c>
      <c r="B11" s="12" t="inlineStr">
        <is>
          <t>Participants à l'analyse (cibles en organisation réelle)</t>
        </is>
      </c>
      <c r="C11" s="54" t="inlineStr">
        <is>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is>
      </c>
    </row>
    <row r="12" ht="132" customHeight="1" s="70">
      <c r="A12" s="3" t="n">
        <v>5</v>
      </c>
      <c r="B12" s="12" t="inlineStr">
        <is>
          <t>Cadre normatif et référentiels mobilisés</t>
        </is>
      </c>
      <c r="C12" s="54" t="inlineStr">
        <is>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
(indiqué à titre indicatif dans le cadre d'une éventuelle réutilsation de ce fichier pour d'autres analyses de risques)</t>
        </is>
      </c>
    </row>
  </sheetData>
  <mergeCells count="3">
    <mergeCell ref="A4:C4"/>
    <mergeCell ref="A1:C2"/>
    <mergeCell ref="A6:C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19"/>
  <sheetViews>
    <sheetView showGridLines="0" topLeftCell="B1" zoomScaleNormal="100" workbookViewId="0">
      <pane ySplit="7" topLeftCell="A8" activePane="bottomLeft" state="frozen"/>
      <selection pane="bottomLeft" activeCell="A4" sqref="A4:E4"/>
    </sheetView>
  </sheetViews>
  <sheetFormatPr baseColWidth="10" defaultColWidth="8.703125" defaultRowHeight="14.35"/>
  <cols>
    <col width="10" customWidth="1" style="70" min="1" max="1"/>
    <col width="28" customWidth="1" style="70" min="2" max="2"/>
    <col width="35" customWidth="1" style="70" min="3" max="3"/>
    <col width="14" customWidth="1" style="70" min="4" max="4"/>
    <col width="60" customWidth="1" style="70" min="5" max="5"/>
  </cols>
  <sheetData>
    <row r="1" ht="25.5" customHeight="1" s="70">
      <c r="A1" s="81" t="inlineStr">
        <is>
          <t>A1.1 - Missions et valeurs métier</t>
        </is>
      </c>
    </row>
    <row r="2" ht="25.5" customHeight="1" s="70"/>
    <row r="4" ht="57.75" customHeight="1" s="70">
      <c r="A4" s="80" t="inlineStr">
        <is>
          <t>Sortie attendue de la partie cadrage de l'atelier 1 : Pour chaque mission de l'objet d'étude, lister les valeurs métier (VM) qui la portent. Nature : Processus (activité) ou Information (donnée). Une VM peut être de nature mixte. Convention de codification : Mx pour les missions, VMx.y pour les valeurs métier (x = numéro de mission).</t>
        </is>
      </c>
      <c r="B4" s="79" t="n"/>
      <c r="C4" s="79" t="n"/>
      <c r="D4" s="79" t="n"/>
      <c r="E4" s="79" t="n"/>
    </row>
    <row r="6" ht="21.75" customHeight="1" s="70">
      <c r="A6" s="75" t="inlineStr">
        <is>
          <t>Tableau des missions et valeurs métier</t>
        </is>
      </c>
    </row>
    <row r="7" ht="31.5" customHeight="1" s="70">
      <c r="A7" s="1" t="inlineStr">
        <is>
          <t>Code mission</t>
        </is>
      </c>
      <c r="B7" s="2" t="inlineStr">
        <is>
          <t>Mission</t>
        </is>
      </c>
      <c r="C7" s="1" t="inlineStr">
        <is>
          <t>Valeur métier</t>
        </is>
      </c>
      <c r="D7" s="1" t="inlineStr">
        <is>
          <t>Nature</t>
        </is>
      </c>
      <c r="E7" s="1" t="inlineStr">
        <is>
          <t>Description</t>
        </is>
      </c>
    </row>
    <row r="8" ht="72" customHeight="1" s="70">
      <c r="A8" s="111" t="inlineStr">
        <is>
          <t>M1</t>
        </is>
      </c>
      <c r="B8" s="112" t="inlineStr">
        <is>
          <t xml:space="preserve">Enseignement  
Assurer la formation des 12000 étudiants </t>
        </is>
      </c>
      <c r="C8" s="14" t="inlineStr">
        <is>
          <t>VM1.1 : Diffusion des contenus pédagogiques</t>
        </is>
      </c>
      <c r="D8" s="10" t="inlineStr">
        <is>
          <t>Processus</t>
        </is>
      </c>
      <c r="E8" s="5" t="inlineStr">
        <is>
          <t>Activité de mise à disposition des cours, supports, devoirs, exercices, corrigés et ressources documentaires aux étudiants, organisée par UE et par promotion, avec dépôt des productions étudiantes (devoirs, examens écrits).</t>
        </is>
      </c>
    </row>
    <row r="9" ht="72" customHeight="1" s="70">
      <c r="A9" s="83" t="n"/>
      <c r="B9" s="83" t="n"/>
      <c r="C9" s="15" t="inlineStr">
        <is>
          <t>VM1.2 : Évaluation et notation</t>
        </is>
      </c>
      <c r="D9" s="11" t="inlineStr">
        <is>
          <t>Processus</t>
        </is>
      </c>
      <c r="E9" s="8" t="inlineStr">
        <is>
          <t>Activité de notation des productions étudiantes, calcul des moyennes, gestion des sessions d'examens et des jurys.</t>
        </is>
      </c>
    </row>
    <row r="10" ht="72" customHeight="1" s="70">
      <c r="A10" s="83" t="n"/>
      <c r="B10" s="83" t="n"/>
      <c r="C10" s="14" t="inlineStr">
        <is>
          <t>VM1.3 : Résultats académiques</t>
        </is>
      </c>
      <c r="D10" s="10" t="inlineStr">
        <is>
          <t>Information</t>
        </is>
      </c>
      <c r="E10" s="54" t="inlineStr">
        <is>
          <t>Notes individuelles, moyennes, validations d'UE, attestations, diplômes : informations à très forte exigence d'intégrité et d'authenticité.</t>
        </is>
      </c>
    </row>
    <row r="11" ht="72" customHeight="1" s="70">
      <c r="A11" s="83" t="n"/>
      <c r="B11" s="83" t="n"/>
      <c r="C11" s="15" t="inlineStr">
        <is>
          <t>VM1.4 : Communication pédagogique</t>
        </is>
      </c>
      <c r="D11" s="11" t="inlineStr">
        <is>
          <t>Processus</t>
        </is>
      </c>
      <c r="E11" s="8" t="inlineStr">
        <is>
          <t>Échanges quotidiens entre enseignants, étudiants et services de scolarité via messagerie et listes de diffusion (annonces, convocations, conventions).</t>
        </is>
      </c>
    </row>
    <row r="12" ht="90" customHeight="1" s="70">
      <c r="A12" s="84" t="n"/>
      <c r="B12" s="84" t="n"/>
      <c r="C12" s="15" t="inlineStr">
        <is>
          <t>VM1.5 : Accès aux ressources documentaires</t>
        </is>
      </c>
      <c r="D12" s="11" t="inlineStr">
        <is>
          <t>Processus</t>
        </is>
      </c>
      <c r="E12" s="55" t="inlineStr">
        <is>
          <t>Accès des étudiants, enseignants et chercheurs à la bibliothèque numérique : bases bibliographiques, revues scientifiques, ouvrages en ligne, archives ouvertes.
Non mis en place dans la maquette v1 et déclarée pour complétude du périmètre métier et car il est mentionné dans la fiche de description du projet. On peut considèrer que ce processus est géré par un prestataire donc analysé dans le cadre de l'analyse des parties prenantes</t>
        </is>
      </c>
    </row>
    <row r="13" ht="72" customHeight="1" s="70">
      <c r="A13" s="111" t="inlineStr">
        <is>
          <t>M2</t>
        </is>
      </c>
      <c r="B13" s="112" t="inlineStr">
        <is>
          <t>Recherche 
Produire, partager et diffuser de la connaissance scientifique au sein des laboratoires, en collaboration avec des partenaires académiques et industriels.</t>
        </is>
      </c>
      <c r="C13" s="14" t="inlineStr">
        <is>
          <t>VM2.1 : Conduite des activités de recherche</t>
        </is>
      </c>
      <c r="D13" s="10" t="inlineStr">
        <is>
          <t>Processus</t>
        </is>
      </c>
      <c r="E13" s="5" t="inlineStr">
        <is>
          <t>Activité scientifique réalisée par les enseignants-chercheurs et chercheurs : conception d'expériences, calcul scientifique (notebooks, simulations), traitement et analyse de données.</t>
        </is>
      </c>
    </row>
    <row r="14" ht="72" customHeight="1" s="70">
      <c r="A14" s="83" t="n"/>
      <c r="B14" s="83" t="n"/>
      <c r="C14" s="15" t="inlineStr">
        <is>
          <t>VM2.2 : Patrimoine scientifique</t>
        </is>
      </c>
      <c r="D14" s="11" t="inlineStr">
        <is>
          <t>Information</t>
        </is>
      </c>
      <c r="E14" s="8" t="inlineStr">
        <is>
          <t>Données expérimentales brutes et traitées, codes et notebooks, articles en cours de rédaction, résultats préliminaires non publiés, antériorités brevetables. Confidentialité critique.</t>
        </is>
      </c>
    </row>
    <row r="15" ht="72" customHeight="1" s="70">
      <c r="A15" s="84" t="n"/>
      <c r="B15" s="84" t="n"/>
      <c r="C15" s="14" t="inlineStr">
        <is>
          <t>VM2.3 : Collaboration et diffusion scientifique</t>
        </is>
      </c>
      <c r="D15" s="10" t="inlineStr">
        <is>
          <t>Processus</t>
        </is>
      </c>
      <c r="E15" s="5" t="inlineStr">
        <is>
          <t>Échanges avec partenaires académiques (laboratoires associés) et industriels (financements, contrats de recherche), publications, dépôts de brevets, communications scientifiques.</t>
        </is>
      </c>
    </row>
    <row r="16" ht="72" customHeight="1" s="70">
      <c r="A16" s="111" t="inlineStr">
        <is>
          <t>M3</t>
        </is>
      </c>
      <c r="B16" s="112" t="inlineStr">
        <is>
          <t>Administration 
Gérer les ressources humaines (paie, contrats), la scolarité administrative et les fonctions financières de l'établissement.</t>
        </is>
      </c>
      <c r="C16" s="15" t="inlineStr">
        <is>
          <t>VM3.1 : Gestion des ressources humaines</t>
        </is>
      </c>
      <c r="D16" s="11" t="inlineStr">
        <is>
          <t>Processus</t>
        </is>
      </c>
      <c r="E16" s="8" t="inlineStr">
        <is>
          <t>Activité administrative comprenant : production de la paie mensuelle, gestion des contrats de travail, suivi des carrières, gestion des absences et congés, tenue des dossiers individuels du personnel.</t>
        </is>
      </c>
    </row>
    <row r="17" ht="72" customHeight="1" s="70">
      <c r="A17" s="83" t="n"/>
      <c r="B17" s="83" t="n"/>
      <c r="C17" s="14" t="inlineStr">
        <is>
          <t>VM3.2 : Données personnelles et contractuelles</t>
        </is>
      </c>
      <c r="D17" s="10" t="inlineStr">
        <is>
          <t>Information</t>
        </is>
      </c>
      <c r="E17" s="5" t="inlineStr">
        <is>
          <t>Données personnelles (identité, NIR, RIB, adresse, situation familiale) et contractuelles (salaire, grade, ancienneté) des 500 personnels. Données soumises au RGPD avec base légale d'exécution du contrat de travail.</t>
        </is>
      </c>
    </row>
    <row r="18" ht="72" customHeight="1" s="70">
      <c r="A18" s="83" t="n"/>
      <c r="B18" s="83" t="n"/>
      <c r="C18" s="15" t="inlineStr">
        <is>
          <t>VM3.3 : Gestion administrative des étudiants (scolarité)</t>
        </is>
      </c>
      <c r="D18" s="11" t="inlineStr">
        <is>
          <t>Processus</t>
        </is>
      </c>
      <c r="E18" s="55" t="inlineStr">
        <is>
          <t>Inscriptions administratives, gestion des conventions de stage, des bourses, des certificats de scolarité, des transferts de dossier.</t>
        </is>
      </c>
    </row>
    <row r="19" ht="45.75" customHeight="1" s="70">
      <c r="A19" s="84" t="n"/>
      <c r="B19" s="84" t="n"/>
      <c r="C19" s="14" t="inlineStr">
        <is>
          <t>VM3.4 : Gestion financière et comptable</t>
        </is>
      </c>
      <c r="D19" s="10" t="inlineStr">
        <is>
          <t>Processus</t>
        </is>
      </c>
      <c r="E19" s="54" t="inlineStr">
        <is>
          <t xml:space="preserve">Comptabilité générale, traitement des dépenses et recettes, gestion des marchés publics, relations avec l'agent comptable. </t>
        </is>
      </c>
    </row>
  </sheetData>
  <mergeCells count="9">
    <mergeCell ref="A4:E4"/>
    <mergeCell ref="B8:B12"/>
    <mergeCell ref="A8:A12"/>
    <mergeCell ref="B13:B15"/>
    <mergeCell ref="A1:E2"/>
    <mergeCell ref="A6:E6"/>
    <mergeCell ref="B16:B19"/>
    <mergeCell ref="A13:A15"/>
    <mergeCell ref="A16:A19"/>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F20"/>
  <sheetViews>
    <sheetView showGridLines="0" zoomScale="80" zoomScaleNormal="80" workbookViewId="0">
      <pane ySplit="7" topLeftCell="A15" activePane="bottomLeft" state="frozen"/>
      <selection activeCell="A4" sqref="A4:E4"/>
      <selection pane="bottomLeft" activeCell="A4" sqref="A4:F4"/>
    </sheetView>
  </sheetViews>
  <sheetFormatPr baseColWidth="10" defaultColWidth="8.703125" defaultRowHeight="14.35"/>
  <cols>
    <col width="8" customWidth="1" style="70" min="1" max="1"/>
    <col width="32" customWidth="1" style="70" min="2" max="2"/>
    <col width="60" customWidth="1" style="70" min="3" max="3"/>
    <col width="18" customWidth="1" style="70" min="4" max="5"/>
    <col width="16" customWidth="1" style="70" min="6" max="6"/>
  </cols>
  <sheetData>
    <row r="1" ht="25.5" customHeight="1" s="70">
      <c r="A1" s="81" t="inlineStr">
        <is>
          <t>A1.2 - Biens supports</t>
        </is>
      </c>
    </row>
    <row r="2" ht="25.5" customHeight="1" s="70"/>
    <row r="4" ht="96" customHeight="1" s="70">
      <c r="A4" s="80" t="inlineStr">
        <is>
          <t xml:space="preserve">Sortie attendue de la partie cadrage de l'atelier 1 : Pour chaque valeur métier, identifier les biens supports (systèmes, applications, réseaux, postes, locaux, contrats…) qui la portent. Un même bien support peut servir plusieurs VM (nous le qualifions alors de "transverse" dans le document). Le responsable est l'entité ou la personne (interne ou externe) en charge de l'exploitation du bien.
Les descriptions des biens supports correspondent à ce que notre groupe avait engisagé pour la maquette lors de la réalisation de l'analyse de risque.
Nous notons aussi que (comme dans l'exemple du cours) les biens supports de type informationnels (par exemple, contrat) sont représentés dans cette analyse de risques par le(s) bien(s) support(s) qui les stockent. </t>
        </is>
      </c>
      <c r="B4" s="79" t="n"/>
      <c r="C4" s="79" t="n"/>
      <c r="D4" s="79" t="n"/>
      <c r="E4" s="79" t="n"/>
      <c r="F4" s="79" t="n"/>
    </row>
    <row r="6" ht="21.75" customHeight="1" s="70">
      <c r="A6" s="75" t="inlineStr">
        <is>
          <t>Tableau des biens supports</t>
        </is>
      </c>
    </row>
    <row r="7" ht="31.5" customHeight="1" s="70">
      <c r="A7" s="1" t="inlineStr">
        <is>
          <t>Code BS</t>
        </is>
      </c>
      <c r="B7" s="1" t="inlineStr">
        <is>
          <t>Dénomination</t>
        </is>
      </c>
      <c r="C7" s="1" t="inlineStr">
        <is>
          <t>Description</t>
        </is>
      </c>
      <c r="D7" s="1" t="inlineStr">
        <is>
          <t>VM associée(s)</t>
        </is>
      </c>
      <c r="E7" s="1" t="inlineStr">
        <is>
          <t>Responsable</t>
        </is>
      </c>
      <c r="F7" s="1" t="inlineStr">
        <is>
          <t>Interne / Externe</t>
        </is>
      </c>
    </row>
    <row r="8" ht="72" customHeight="1" s="70">
      <c r="A8" s="3" t="inlineStr">
        <is>
          <t>BS01</t>
        </is>
      </c>
      <c r="B8" s="54" t="inlineStr">
        <is>
          <t>Plateforme Moodle (`uc-srv-moodle`)</t>
        </is>
      </c>
      <c r="C8" s="54" t="inlineStr">
        <is>
          <t>Serveur applicatif Apache + PHP avec base MariaDB locale (instance liée à 127.0.0.1), hébergeant les espaces de cours, le dépôt de devoirs, les modules d'évaluation. Exposé en façade Internet via HTTP.</t>
        </is>
      </c>
      <c r="D8" s="5" t="inlineStr">
        <is>
          <t>VM1.1, VM1.2</t>
        </is>
      </c>
      <c r="E8" s="5" t="inlineStr">
        <is>
          <t>DSI</t>
        </is>
      </c>
      <c r="F8" s="10" t="inlineStr">
        <is>
          <t>Interne</t>
        </is>
      </c>
    </row>
    <row r="9" ht="72" customHeight="1" s="70">
      <c r="A9" s="7" t="inlineStr">
        <is>
          <t>BS02</t>
        </is>
      </c>
      <c r="B9" s="55" t="inlineStr">
        <is>
          <t>Base de données Moodle (intégrée à `uc-srv-moodle`)</t>
        </is>
      </c>
      <c r="C9" s="55" t="inlineStr">
        <is>
          <t>Instance `mariadb-server` locale stockant les comptes utilisateurs (table `mdl_user`, hash bcrypt) et les notes (tables `mdl_grade_*`). Bind sur la boucle locale uniquement.</t>
        </is>
      </c>
      <c r="D9" s="8" t="inlineStr">
        <is>
          <t>VM1.3</t>
        </is>
      </c>
      <c r="E9" s="8" t="inlineStr">
        <is>
          <t>DSI</t>
        </is>
      </c>
      <c r="F9" s="11" t="inlineStr">
        <is>
          <t>Interne</t>
        </is>
      </c>
    </row>
    <row r="10" ht="72" customHeight="1" s="70">
      <c r="A10" s="3" t="inlineStr">
        <is>
          <t>BS03</t>
        </is>
      </c>
      <c r="B10" s="5" t="inlineStr">
        <is>
          <t>Serveur de messagerie (`uc-srv-mail`)</t>
        </is>
      </c>
      <c r="C10" s="5" t="inlineStr">
        <is>
          <t>Postfix (SMTP/25), Dovecot (IMAP/143, POP3/110), comptes Unix locaux + Dovecot, hash crypt. Exposé en façade Internet pour SMTP et IMAP.</t>
        </is>
      </c>
      <c r="D10" s="5" t="inlineStr">
        <is>
          <t>VM1.4, VM2.3, VM3.1 (transverse)</t>
        </is>
      </c>
      <c r="E10" s="5" t="inlineStr">
        <is>
          <t>DSI</t>
        </is>
      </c>
      <c r="F10" s="10" t="inlineStr">
        <is>
          <t>Interne</t>
        </is>
      </c>
    </row>
    <row r="11" ht="72" customHeight="1" s="70">
      <c r="A11" s="7" t="inlineStr">
        <is>
          <t>BS04</t>
        </is>
      </c>
      <c r="B11" s="8" t="inlineStr">
        <is>
          <t>Annuaire d'identité LDAP (`uc-srv-ldap`)</t>
        </is>
      </c>
      <c r="C11" s="8" t="inlineStr">
        <is>
          <t>OpenLDAP (slapd), suffix `dc=unicampus,dc=local`, OUs `people` et `groups`. Référentiel des comptes étudiants, enseignants, chercheurs, administratifs et DSI. Bind anonyme autorisé, TLS non configuré.</t>
        </is>
      </c>
      <c r="D11" s="8" t="inlineStr">
        <is>
          <t>Transverse (M1, M2, M3)</t>
        </is>
      </c>
      <c r="E11" s="8" t="inlineStr">
        <is>
          <t>DSI</t>
        </is>
      </c>
      <c r="F11" s="11" t="inlineStr">
        <is>
          <t>Interne</t>
        </is>
      </c>
    </row>
    <row r="12" ht="72" customHeight="1" s="70">
      <c r="A12" s="3" t="inlineStr">
        <is>
          <t>BS05</t>
        </is>
      </c>
      <c r="B12" s="5" t="inlineStr">
        <is>
          <t>Serveur de calcul et stockage de recherche (`uc-calc-recherche`)</t>
        </is>
      </c>
      <c r="C12" s="5" t="inlineStr">
        <is>
          <t>Cumule : NFS (port 2049 + rpcbind 111) et Samba (445, 139) pour le partage de fichiers scientifiques, Jupyter (8888) pour les notebooks, PostgreSQL local (127.0.0.1:5432) pour les bases scientifiques.</t>
        </is>
      </c>
      <c r="D12" s="5" t="inlineStr">
        <is>
          <t>VM2.1, VM2.2</t>
        </is>
      </c>
      <c r="E12" s="54" t="inlineStr">
        <is>
          <t xml:space="preserve">DSI + Laboratoires </t>
        </is>
      </c>
      <c r="F12" s="10" t="inlineStr">
        <is>
          <t>Interne</t>
        </is>
      </c>
    </row>
    <row r="13" ht="72" customHeight="1" s="70">
      <c r="A13" s="7" t="inlineStr">
        <is>
          <t>BS06</t>
        </is>
      </c>
      <c r="B13" s="8" t="inlineStr">
        <is>
          <t>Application web RH (`uc-web-rh`)</t>
        </is>
      </c>
      <c r="C13" s="8" t="inlineStr">
        <is>
          <t>Application Apache + PHP exposant l'interface de gestion RH, communiquant avec `uc-db-rh` sur le port 3306. Pas d'exposition Internet directe : accessible uniquement depuis le réseau interne.</t>
        </is>
      </c>
      <c r="D13" s="8" t="inlineStr">
        <is>
          <t>VM3.1</t>
        </is>
      </c>
      <c r="E13" s="8" t="inlineStr">
        <is>
          <t>DSI</t>
        </is>
      </c>
      <c r="F13" s="11" t="inlineStr">
        <is>
          <t>Interne</t>
        </is>
      </c>
    </row>
    <row r="14" ht="72" customHeight="1" s="70">
      <c r="A14" s="3" t="inlineStr">
        <is>
          <t>BS07</t>
        </is>
      </c>
      <c r="B14" s="5" t="inlineStr">
        <is>
          <t>Base de données RH (`uc-db-rh`)</t>
        </is>
      </c>
      <c r="C14" s="5" t="inlineStr">
        <is>
          <t>Instance MariaDB stockant les comptes (hash SHA1, sans politique de mot de passe) et les données RH des 500 personnels. Écoute sur toutes les interfaces (`0.0.0.0:3306`).</t>
        </is>
      </c>
      <c r="D14" s="5" t="inlineStr">
        <is>
          <t>VM3.2</t>
        </is>
      </c>
      <c r="E14" s="5" t="inlineStr">
        <is>
          <t>DSI</t>
        </is>
      </c>
      <c r="F14" s="10" t="inlineStr">
        <is>
          <t>Interne</t>
        </is>
      </c>
    </row>
    <row r="15" ht="72" customHeight="1" s="70">
      <c r="A15" s="7" t="inlineStr">
        <is>
          <t>BS08</t>
        </is>
      </c>
      <c r="B15" s="8" t="inlineStr">
        <is>
          <t>Poste étudiant (`uc-poste-etu`)</t>
        </is>
      </c>
      <c r="C15" s="8" t="inlineStr">
        <is>
          <t>Poste de salle informatique (Kali Linux dans la maquette pour démonstration). Connecté en DHCP sur le réseau campus.</t>
        </is>
      </c>
      <c r="D15" s="8" t="inlineStr">
        <is>
          <t>VM1.1, VM1.4</t>
        </is>
      </c>
      <c r="E15" s="8" t="inlineStr">
        <is>
          <t>DSI + utilisateur étudiant</t>
        </is>
      </c>
      <c r="F15" s="11" t="inlineStr">
        <is>
          <t>Interne</t>
        </is>
      </c>
    </row>
    <row r="16" ht="72" customHeight="1" s="70">
      <c r="A16" s="3" t="inlineStr">
        <is>
          <t>BS09</t>
        </is>
      </c>
      <c r="B16" s="5" t="inlineStr">
        <is>
          <t>Poste enseignant et enseignant-chercheur (`uc-poste-prof`)</t>
        </is>
      </c>
      <c r="C16" s="5" t="inlineStr">
        <is>
          <t>Poste de travail Ubuntu Desktop 22.04. Cumule les rôles enseignant et enseignant-chercheur (mêmes credentials Moodle et recherche)</t>
        </is>
      </c>
      <c r="D16" s="5" t="inlineStr">
        <is>
          <t>VM1.1, VM1.2, VM2.1, VM2.2, VM1.4</t>
        </is>
      </c>
      <c r="E16" s="5" t="inlineStr">
        <is>
          <t>DSI + utilisateur enseignant</t>
        </is>
      </c>
      <c r="F16" s="10" t="inlineStr">
        <is>
          <t>Interne</t>
        </is>
      </c>
    </row>
    <row r="17" ht="72" customHeight="1" s="70">
      <c r="A17" s="7" t="inlineStr">
        <is>
          <t>BS10</t>
        </is>
      </c>
      <c r="B17" s="8" t="inlineStr">
        <is>
          <t>Poste administratif et DSI (`uc-poste-dsi`)</t>
        </is>
      </c>
      <c r="C17" s="8" t="inlineStr">
        <is>
          <t>Poste de travail Ubuntu Desktop 22.04 cumulant les rôles administration et DSI. Stocke en clair la clé SSH privée d'administration (`/home/ubuntu/.ssh/`). Fusion explicite de `uc-poste-admin` et du poste DSI dans la maquette v1.</t>
        </is>
      </c>
      <c r="D17" s="8" t="inlineStr">
        <is>
          <t>VM3.1 + administration transverse</t>
        </is>
      </c>
      <c r="E17" s="8" t="inlineStr">
        <is>
          <t>DSI + services administratifs</t>
        </is>
      </c>
      <c r="F17" s="11" t="inlineStr">
        <is>
          <t>Interne</t>
        </is>
      </c>
    </row>
    <row r="18" ht="72" customHeight="1" s="70">
      <c r="A18" s="3" t="inlineStr">
        <is>
          <t>BS11</t>
        </is>
      </c>
      <c r="B18" s="5" t="inlineStr">
        <is>
          <t>Passerelle périmétrique (`uc-fw-legacy`)</t>
        </is>
      </c>
      <c r="C18" s="5" t="inlineStr">
        <is>
          <t>Pare-feu historique Debian 10 avec iptables et `net.ipv4.ip_forward=1`. Politique INPUT/FORWARD/OUTPUT en ACCEPT, tables vidées, règle résiduelle d'écoute 8080/TCP. Floating IP exposant SSH d'administration.</t>
        </is>
      </c>
      <c r="D18" s="5" t="inlineStr">
        <is>
          <t>Transverse (M1, M2, M3)</t>
        </is>
      </c>
      <c r="E18" s="5" t="inlineStr">
        <is>
          <t>DSI</t>
        </is>
      </c>
      <c r="F18" s="10" t="inlineStr">
        <is>
          <t>Interne</t>
        </is>
      </c>
    </row>
    <row r="19" ht="72" customHeight="1" s="70">
      <c r="A19" s="7" t="inlineStr">
        <is>
          <t>BS12</t>
        </is>
      </c>
      <c r="B19" s="8" t="inlineStr">
        <is>
          <t>Accès distant VPN (`uc-vpn-legacy`)</t>
        </is>
      </c>
      <c r="C19" s="8" t="inlineStr">
        <is>
          <t>Serveur VPN Ubuntu 22.04 / `pptpd` (port 1723/TCP + GRE proto 47). Authentification CHAP via `/etc/ppp/chap-secrets`, compte partagé `campus` / `unicampus2024`, chiffrement MPPE-128 (RC4 déprécié), aucun MFA.</t>
        </is>
      </c>
      <c r="D19" s="8" t="inlineStr">
        <is>
          <t>VM2.1, VM2.3 (recherche) ; potentiellement transverse pour le télétravail</t>
        </is>
      </c>
      <c r="E19" s="8" t="inlineStr">
        <is>
          <t>DSI</t>
        </is>
      </c>
      <c r="F19" s="11" t="inlineStr">
        <is>
          <t>Interne</t>
        </is>
      </c>
    </row>
    <row r="20" ht="72" customHeight="1" s="70">
      <c r="A20" s="3" t="inlineStr">
        <is>
          <t>BS13</t>
        </is>
      </c>
      <c r="B20" s="5" t="inlineStr">
        <is>
          <t>Réseau campus (`uc-net-campus`)</t>
        </is>
      </c>
      <c r="C20" s="5" t="inlineStr">
        <is>
          <t>Unique sous-réseau interne : 192.168.107.0/24, gateway 192.168.107.1, DHCP 192.168.107.100–200. Aucun cloisonnement (étudiants, enseignants, serveurs, recherche partagent le même VLAN).</t>
        </is>
      </c>
      <c r="D20" s="5" t="inlineStr">
        <is>
          <t>Transverse (M1, M2, M3)</t>
        </is>
      </c>
      <c r="E20" s="5" t="inlineStr">
        <is>
          <t>DSI</t>
        </is>
      </c>
      <c r="F20" s="10" t="inlineStr">
        <is>
          <t>Interne</t>
        </is>
      </c>
    </row>
  </sheetData>
  <mergeCells count="3">
    <mergeCell ref="A6:F6"/>
    <mergeCell ref="A1:F2"/>
    <mergeCell ref="A4:F4"/>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G11"/>
  <sheetViews>
    <sheetView showGridLines="0" zoomScaleNormal="100" workbookViewId="0">
      <pane ySplit="7" topLeftCell="A8" activePane="bottomLeft" state="frozen"/>
      <selection pane="bottomLeft" activeCell="C18" sqref="C18"/>
    </sheetView>
  </sheetViews>
  <sheetFormatPr baseColWidth="10" defaultColWidth="8.703125" defaultRowHeight="14.35"/>
  <cols>
    <col width="8" customWidth="1" style="70" min="1" max="1"/>
    <col width="20" customWidth="1" style="70" min="2" max="2"/>
    <col width="32" customWidth="1" style="70" min="3" max="5"/>
    <col width="22" customWidth="1" style="70" min="6" max="6"/>
    <col width="32" customWidth="1" style="70" min="7" max="7"/>
  </cols>
  <sheetData>
    <row r="1" ht="25.5" customHeight="1" s="70">
      <c r="A1" s="86" t="inlineStr">
        <is>
          <t>A1.3 - Échelle de gravité (G1 à G4)</t>
        </is>
      </c>
    </row>
    <row r="2" ht="25.5" customHeight="1" s="70"/>
    <row r="4" ht="72" customHeight="1" s="70">
      <c r="A4" s="80" t="inlineStr">
        <is>
          <t>Échelle calibrée pour UniCampus+ selon les axes de la slide 21 du cours : impact sur les missions/activités, sur les personnes et données, sur l'image et la gouvernance, financier, juridique. Cette échelle est utilisée pour réaliser le second rendu de l'atelier 1 pour coter les événements redoutés et à l'atelier 3 pour les scénarios stratégiques. 
Nous notons ici que certains des seuils ont été choisis à titre indicatif, sans l'expertise et le connaissance pour garantir la cohérence avec la réalité de l'éntité modélisée. Pour palier à cela, nous avons essayé de rester cohérents lors de la cotation des différents ER (quittent à ne pas respecter un des seuils stricto sensu).</t>
        </is>
      </c>
      <c r="B4" s="79" t="n"/>
      <c r="C4" s="79" t="n"/>
      <c r="D4" s="79" t="n"/>
      <c r="E4" s="79" t="n"/>
      <c r="F4" s="79" t="n"/>
      <c r="G4" s="79" t="n"/>
    </row>
    <row r="6" ht="21.75" customHeight="1" s="70">
      <c r="A6" s="75" t="inlineStr">
        <is>
          <t>Échelle de gravité multi-dimensionnelle</t>
        </is>
      </c>
    </row>
    <row r="7" ht="36" customHeight="1" s="70">
      <c r="A7" s="1" t="inlineStr">
        <is>
          <t>Niveau</t>
        </is>
      </c>
      <c r="B7" s="1" t="inlineStr">
        <is>
          <t>Libellé</t>
        </is>
      </c>
      <c r="C7" s="1" t="inlineStr">
        <is>
          <t>Missions / activité</t>
        </is>
      </c>
      <c r="D7" s="1" t="inlineStr">
        <is>
          <t>Personnes &amp; données</t>
        </is>
      </c>
      <c r="E7" s="1" t="inlineStr">
        <is>
          <t>Image &amp; gouvernance</t>
        </is>
      </c>
      <c r="F7" s="1" t="inlineStr">
        <is>
          <t>Finances</t>
        </is>
      </c>
      <c r="G7" s="1" t="inlineStr">
        <is>
          <t>Juridique</t>
        </is>
      </c>
    </row>
    <row r="8" ht="96" customHeight="1" s="70">
      <c r="A8" s="16" t="inlineStr">
        <is>
          <t>G4</t>
        </is>
      </c>
      <c r="B8" s="17" t="inlineStr">
        <is>
          <t>Critique - survie menacée</t>
        </is>
      </c>
      <c r="C8" s="18" t="inlineStr">
        <is>
          <t>Arrêt &gt; 1 semaine d'un service vital (Moodle en période d'examens, paie) OU perte irrémédiable de données</t>
        </is>
      </c>
      <c r="D8" s="18" t="inlineStr">
        <is>
          <t>Fuite &gt; 1 000 personnes OU données sensibles (NIR, santé, RIB) OU atteinte à l'intégrité physique</t>
        </is>
      </c>
      <c r="E8" s="18" t="inlineStr">
        <is>
          <t>Décision de fermeture par la tutelle, mise sous tutelle, démission du président</t>
        </is>
      </c>
      <c r="F8" s="18" t="inlineStr">
        <is>
          <t>&gt; 1 M€ ou &gt; 4 % du budget annuel</t>
        </is>
      </c>
      <c r="G8" s="18" t="inlineStr">
        <is>
          <t>Sanction CNIL majeure, plaintes pénales massives</t>
        </is>
      </c>
    </row>
    <row r="9" ht="96" customHeight="1" s="70">
      <c r="A9" s="19" t="inlineStr">
        <is>
          <t>G3</t>
        </is>
      </c>
      <c r="B9" s="20" t="inlineStr">
        <is>
          <t>Grave - mode très dégradé</t>
        </is>
      </c>
      <c r="C9" s="21" t="inlineStr">
        <is>
          <t>Indisponibilité 1 à 7 jours d'un service critique ; perte de données récupérables avec effort</t>
        </is>
      </c>
      <c r="D9" s="21" t="inlineStr">
        <is>
          <t>Fuite 100 à 1 000 personnes OU données personnelles ordinaires d'identification</t>
        </is>
      </c>
      <c r="E9" s="21" t="inlineStr">
        <is>
          <t>Couverture presse nationale, perte de confiance partenaires industriels ou ministère</t>
        </is>
      </c>
      <c r="F9" s="21" t="inlineStr">
        <is>
          <t>100 k€ – 1 M€</t>
        </is>
      </c>
      <c r="G9" s="21" t="inlineStr">
        <is>
          <t>Sanction CNIL significative, contentieux RH ou étudiant</t>
        </is>
      </c>
    </row>
    <row r="10" ht="96" customHeight="1" s="70">
      <c r="A10" s="22" t="inlineStr">
        <is>
          <t>G2</t>
        </is>
      </c>
      <c r="B10" s="23" t="inlineStr">
        <is>
          <t>Significative - mode dégradé</t>
        </is>
      </c>
      <c r="C10" s="24" t="inlineStr">
        <is>
          <t>Indisponibilité &lt; 24 h, contournements possibles</t>
        </is>
      </c>
      <c r="D10" s="24" t="inlineStr">
        <is>
          <t>Fuite &lt; 100 personnes, données non sensibles</t>
        </is>
      </c>
      <c r="E10" s="24" t="inlineStr">
        <is>
          <t>Communication interne nécessaire, plaintes localisées</t>
        </is>
      </c>
      <c r="F10" s="24" t="inlineStr">
        <is>
          <t>10 k€ – 100 k€</t>
        </is>
      </c>
      <c r="G10" s="24" t="inlineStr">
        <is>
          <t>Notification CNIL simple, pas de sanction prévisible</t>
        </is>
      </c>
    </row>
    <row r="11" ht="96" customHeight="1" s="70">
      <c r="A11" s="25" t="inlineStr">
        <is>
          <t>G1</t>
        </is>
      </c>
      <c r="B11" s="26" t="inlineStr">
        <is>
          <t>Mineure - pas d'impact opérationnel</t>
        </is>
      </c>
      <c r="C11" s="27" t="inlineStr">
        <is>
          <t>Incident résorbé sans perte de service utilisateur</t>
        </is>
      </c>
      <c r="D11" s="27" t="inlineStr">
        <is>
          <t>Aucune fuite ou fuite sans donnée personnelle</t>
        </is>
      </c>
      <c r="E11" s="27" t="inlineStr">
        <is>
          <t>Aucun impact externe</t>
        </is>
      </c>
      <c r="F11" s="27" t="inlineStr">
        <is>
          <t>&lt; 10 k€</t>
        </is>
      </c>
      <c r="G11" s="27" t="inlineStr">
        <is>
          <t>Aucun</t>
        </is>
      </c>
    </row>
  </sheetData>
  <mergeCells count="3">
    <mergeCell ref="A6:G6"/>
    <mergeCell ref="A1:G2"/>
    <mergeCell ref="A4:G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H17"/>
  <sheetViews>
    <sheetView showGridLines="0" zoomScaleNormal="100" workbookViewId="0">
      <pane ySplit="7" topLeftCell="A14" activePane="bottomLeft" state="frozen"/>
      <selection pane="bottomLeft" activeCell="C13" sqref="C13"/>
    </sheetView>
  </sheetViews>
  <sheetFormatPr baseColWidth="10" defaultColWidth="8.703125" defaultRowHeight="14.35"/>
  <cols>
    <col width="28" customWidth="1" style="70" min="1" max="1"/>
    <col width="9" customWidth="1" style="70" min="2" max="2"/>
    <col width="45" customWidth="1" style="70" min="3" max="3"/>
    <col width="50" customWidth="1" style="70" min="4" max="4"/>
    <col width="14" customWidth="1" style="70" min="5" max="5"/>
    <col width="10" customWidth="1" style="70" min="6" max="8"/>
  </cols>
  <sheetData>
    <row r="1" ht="25.5" customHeight="1" s="70">
      <c r="A1" s="76" t="inlineStr">
        <is>
          <t>A1.4 - Événements redoutés et niveau de gravité</t>
        </is>
      </c>
      <c r="F1" s="28" t="n"/>
      <c r="G1" s="28" t="n"/>
      <c r="H1" s="28" t="n"/>
    </row>
    <row r="2" ht="25.5" customHeight="1" s="70">
      <c r="F2" s="28" t="n"/>
      <c r="G2" s="28" t="n"/>
      <c r="H2" s="28" t="n"/>
    </row>
    <row r="3" ht="14.25" customHeight="1" s="70">
      <c r="A3" s="28" t="n"/>
      <c r="B3" s="28" t="n"/>
      <c r="C3" s="28" t="n"/>
      <c r="D3" s="28" t="n"/>
      <c r="E3" s="28" t="n"/>
      <c r="F3" s="28" t="n"/>
      <c r="G3" s="28" t="n"/>
      <c r="H3" s="28" t="n"/>
    </row>
    <row r="4" ht="78" customHeight="1" s="70">
      <c r="A4" s="80" t="inlineStr">
        <is>
          <t>Seconde sortie de l'atlier 1 : 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is>
      </c>
      <c r="B4" s="79" t="n"/>
      <c r="C4" s="79" t="n"/>
      <c r="D4" s="79" t="n"/>
      <c r="E4" s="79" t="n"/>
      <c r="F4" s="28" t="n"/>
      <c r="G4" s="28" t="n"/>
      <c r="H4" s="28" t="n"/>
    </row>
    <row r="5" ht="14.25" customHeight="1" s="70">
      <c r="A5" s="28" t="n"/>
      <c r="B5" s="28" t="n"/>
      <c r="C5" s="28" t="n"/>
      <c r="D5" s="28" t="n"/>
      <c r="E5" s="28" t="n"/>
      <c r="F5" s="28" t="n"/>
      <c r="G5" s="28" t="n"/>
      <c r="H5" s="28" t="n"/>
    </row>
    <row r="6" ht="21.75" customHeight="1" s="70">
      <c r="A6" s="88" t="inlineStr">
        <is>
          <t>Liste des événements redoutés</t>
        </is>
      </c>
      <c r="F6" s="28" t="n"/>
      <c r="G6" s="28" t="n"/>
      <c r="H6" s="28" t="n"/>
    </row>
    <row r="7" ht="31.5" customHeight="1" s="70">
      <c r="A7" s="1" t="inlineStr">
        <is>
          <t>Valeur métier</t>
        </is>
      </c>
      <c r="B7" s="1" t="inlineStr">
        <is>
          <t>Code ER</t>
        </is>
      </c>
      <c r="C7" s="1" t="inlineStr">
        <is>
          <t>Événement redouté</t>
        </is>
      </c>
      <c r="D7" s="1" t="inlineStr">
        <is>
          <t>Catégories d'impact</t>
        </is>
      </c>
      <c r="E7" s="1" t="inlineStr">
        <is>
          <t>Gravité</t>
        </is>
      </c>
      <c r="F7" s="28" t="n"/>
      <c r="G7" s="28" t="n"/>
      <c r="H7" s="28" t="n"/>
    </row>
    <row r="8" ht="73.5" customHeight="1" s="70">
      <c r="A8" s="29" t="inlineStr">
        <is>
          <t>M1 - VM1.2 / VM1.3
Évaluation et résultats académiques</t>
        </is>
      </c>
      <c r="B8" s="3" t="inlineStr">
        <is>
          <t>ER03</t>
        </is>
      </c>
      <c r="C8" s="5" t="inlineStr">
        <is>
          <t>Altération frauduleuse des notes, moyennes ou diplômes</t>
        </is>
      </c>
      <c r="D8" s="5" t="inlineStr">
        <is>
          <t>• Impacts sur les missions et services de l'organisme
• Impacts sur l'image et la confiance
• Impacts juridiques (contestation des diplômes, contentieux étudiants)</t>
        </is>
      </c>
      <c r="E8" s="19" t="inlineStr">
        <is>
          <t>G3</t>
        </is>
      </c>
      <c r="F8" s="28" t="n"/>
      <c r="G8" s="28" t="n"/>
      <c r="H8" s="28" t="n"/>
    </row>
    <row r="9" ht="55.5" customHeight="1" s="70">
      <c r="A9" s="113" t="inlineStr">
        <is>
          <t>M1 - VM1.1 / VM1.4
Services pédagogiques numériques (plateforme et messagerie)</t>
        </is>
      </c>
      <c r="B9" s="31" t="inlineStr">
        <is>
          <t>ER04</t>
        </is>
      </c>
      <c r="C9" s="57" t="inlineStr">
        <is>
          <t>Interruption de l'accès aux services pédagogiques pendant plus de 24 h</t>
        </is>
      </c>
      <c r="D9" s="32" t="inlineStr">
        <is>
          <t>• Impacts sur les missions et services de l'organisme
• Impacts sur l'image et la confiance</t>
        </is>
      </c>
      <c r="E9" s="19" t="inlineStr">
        <is>
          <t>G3</t>
        </is>
      </c>
      <c r="F9" s="28" t="n"/>
      <c r="G9" s="28" t="n"/>
      <c r="H9" s="28" t="n"/>
    </row>
    <row r="10" ht="45" customHeight="1" s="70">
      <c r="A10" s="84" t="n"/>
      <c r="B10" s="31" t="inlineStr">
        <is>
          <t>ER08</t>
        </is>
      </c>
      <c r="C10" s="32" t="inlineStr">
        <is>
          <t>Détournement de la messagerie institutionnelle pour des campagnes externes malveillantes (phishing, spam)</t>
        </is>
      </c>
      <c r="D10" s="32" t="inlineStr">
        <is>
          <t>• Impacts sur l'image et la confiance</t>
        </is>
      </c>
      <c r="E10" s="22" t="inlineStr">
        <is>
          <t>G2</t>
        </is>
      </c>
      <c r="F10" s="28" t="n"/>
      <c r="G10" s="28" t="n"/>
      <c r="H10" s="28" t="n"/>
    </row>
    <row r="11" ht="73.5" customHeight="1" s="70">
      <c r="A11" s="114" t="inlineStr">
        <is>
          <t>M2 - VM2.2
Patrimoine scientifique</t>
        </is>
      </c>
      <c r="B11" s="3" t="inlineStr">
        <is>
          <t>ER02</t>
        </is>
      </c>
      <c r="C11" s="5" t="inlineStr">
        <is>
          <t>Fuite des données et résultats de recherche de l'établissement</t>
        </is>
      </c>
      <c r="D11" s="5" t="inlineStr">
        <is>
          <t>• Impacts sur le patrimoine intellectuel
• Impacts financiers (brevets compromis, contrats partenaires rompus)
• Impacts sur l'image et la confiance (partenaires académiques et industriels)</t>
        </is>
      </c>
      <c r="E11" s="19" t="inlineStr">
        <is>
          <t>G3</t>
        </is>
      </c>
      <c r="F11" s="28" t="n"/>
      <c r="G11" s="28" t="n"/>
      <c r="H11" s="28" t="n"/>
    </row>
    <row r="12" ht="73.5" customHeight="1" s="70">
      <c r="A12" s="84" t="n"/>
      <c r="B12" s="3" t="inlineStr">
        <is>
          <t>ER09</t>
        </is>
      </c>
      <c r="C12" s="5" t="inlineStr">
        <is>
          <t>Perte ou destruction définitive des données et résultats de recherche</t>
        </is>
      </c>
      <c r="D12" s="5" t="inlineStr">
        <is>
          <t>• Impacts sur les missions et services de l'organisme
• Impacts sur le patrimoine intellectuel
• Impacts financiers (engagements ANR / européens compromis)</t>
        </is>
      </c>
      <c r="E12" s="19" t="inlineStr">
        <is>
          <t>G3</t>
        </is>
      </c>
      <c r="F12" s="28" t="n"/>
      <c r="G12" s="28" t="n"/>
      <c r="H12" s="28" t="n"/>
    </row>
    <row r="13" ht="91.5" customHeight="1" s="70">
      <c r="A13" s="30" t="inlineStr">
        <is>
          <t>M3 - VM3.2
Données personnelles et contractuelles</t>
        </is>
      </c>
      <c r="B13" s="31" t="inlineStr">
        <is>
          <t>ER01</t>
        </is>
      </c>
      <c r="C13" s="32" t="inlineStr">
        <is>
          <t>Fuite massive des données personnelles des étudiants et personnels (identité, NIR, RIB, dossiers, notes)</t>
        </is>
      </c>
      <c r="D13" s="32" t="inlineStr">
        <is>
          <t>• Impacts sur les personnes (atteinte à la vie privée)
• Impacts juridiques (sanction RGPD / CNIL, notification 72 h)
• Impacts sur l'image et la confiance
• Impacts financiers (sanction administrative, indemnisations)</t>
        </is>
      </c>
      <c r="E13" s="16" t="inlineStr">
        <is>
          <t>G4</t>
        </is>
      </c>
      <c r="F13" s="28" t="n"/>
      <c r="G13" s="28" t="n"/>
      <c r="H13" s="28" t="n"/>
    </row>
    <row r="14" ht="91.5" customHeight="1" s="70">
      <c r="A14" s="29" t="inlineStr">
        <is>
          <t>M3 - VM3.1
Gestion des ressources humaines</t>
        </is>
      </c>
      <c r="B14" s="3" t="inlineStr">
        <is>
          <t>ER05</t>
        </is>
      </c>
      <c r="C14" s="5" t="inlineStr">
        <is>
          <t>Altération frauduleuse de la paie et des données de gestion RH</t>
        </is>
      </c>
      <c r="D14" s="5" t="inlineStr">
        <is>
          <t>• Impacts sur les missions et services de l'organisme
• Impacts financiers (paie détournée ou erronée)
• Impacts juridiques (contentieux RH)
• Impacts sur les personnes (retard ou perte de rémunération)</t>
        </is>
      </c>
      <c r="E14" s="19" t="inlineStr">
        <is>
          <t>G3</t>
        </is>
      </c>
      <c r="F14" s="28" t="n"/>
      <c r="G14" s="28" t="n"/>
      <c r="H14" s="28" t="n"/>
    </row>
    <row r="15" ht="91.5" customHeight="1" s="70">
      <c r="A15" s="30" t="inlineStr">
        <is>
          <t>Transverse
Valeurs métier de M1, M2 et M3</t>
        </is>
      </c>
      <c r="B15" s="56" t="inlineStr">
        <is>
          <t>ER06</t>
        </is>
      </c>
      <c r="C15" s="32" t="inlineStr">
        <is>
          <t>Interruption massive et simultanée de l'ensemble des services numériques de l'établissement</t>
        </is>
      </c>
      <c r="D15" s="32" t="inlineStr">
        <is>
          <t>• Impacts sur les missions et services de l'organisme
• Impacts financiers (coût de remédiation, perte d'exploitation)
• Impacts sur l'image et la confiance
• Impacts juridiques (selon les données affectées)</t>
        </is>
      </c>
      <c r="E15" s="16" t="inlineStr">
        <is>
          <t>G4</t>
        </is>
      </c>
      <c r="F15" s="28" t="n"/>
      <c r="G15" s="28" t="n"/>
      <c r="H15" s="28" t="n"/>
    </row>
    <row r="17" ht="37.5" customHeight="1" s="70">
      <c r="A17" s="80" t="inlineStr">
        <is>
          <t xml:space="preserve">Note : la gravité de ER04 est calibrée à G3 hors période d'examens et G4 pendant une session d'examens </t>
        </is>
      </c>
      <c r="B17" s="79" t="n"/>
      <c r="C17" s="79" t="n"/>
      <c r="D17" s="79" t="n"/>
      <c r="E17" s="79" t="n"/>
    </row>
  </sheetData>
  <mergeCells count="6">
    <mergeCell ref="A4:E4"/>
    <mergeCell ref="A9:A10"/>
    <mergeCell ref="A1:E2"/>
    <mergeCell ref="A6:E6"/>
    <mergeCell ref="A17:E17"/>
    <mergeCell ref="A11:A12"/>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34"/>
  <sheetViews>
    <sheetView showGridLines="0" zoomScaleNormal="100" workbookViewId="0">
      <pane ySplit="3" topLeftCell="A25" activePane="bottomLeft" state="frozen"/>
      <selection pane="bottomLeft" activeCell="A4" sqref="A4:E4"/>
    </sheetView>
  </sheetViews>
  <sheetFormatPr baseColWidth="10" defaultColWidth="8.703125" defaultRowHeight="14.35"/>
  <cols>
    <col width="22" customWidth="1" style="70" min="1" max="2"/>
    <col width="24" customWidth="1" style="70" min="3" max="3"/>
    <col width="22" customWidth="1" style="70" min="4" max="5"/>
  </cols>
  <sheetData>
    <row r="1" ht="25.5" customHeight="1" s="70">
      <c r="A1" s="76" t="inlineStr">
        <is>
          <t>A2.0 - Échelle de pertinence des couples SR/OV</t>
        </is>
      </c>
    </row>
    <row r="2" ht="25.5" customHeight="1" s="70"/>
    <row r="4" ht="84" customHeight="1" s="70">
      <c r="A4" s="78" t="inlineStr">
        <is>
          <t>Matrice utiliséé pour determiner la pertinence d'un couple SR/OV à partir de la motivation et des ressources disponibles pour qu'un acteur accomplisse un certain objectif.</t>
        </is>
      </c>
      <c r="B4" s="79" t="n"/>
      <c r="C4" s="79" t="n"/>
      <c r="D4" s="79" t="n"/>
      <c r="E4" s="79" t="n"/>
    </row>
    <row r="6" ht="21.75" customHeight="1" s="70">
      <c r="A6" s="88" t="inlineStr">
        <is>
          <t>Matrice Motivation × Ressources → Pertinence</t>
        </is>
      </c>
    </row>
    <row r="8" ht="27.75" customHeight="1" s="70">
      <c r="B8" s="95" t="inlineStr">
        <is>
          <t>RESSOURCES (ressources financières, compétences cyber, outillage, temps)</t>
        </is>
      </c>
      <c r="C8" s="79" t="n"/>
      <c r="D8" s="79" t="n"/>
      <c r="E8" s="79" t="n"/>
    </row>
    <row r="9" ht="36" customHeight="1" s="70">
      <c r="A9" s="33" t="inlineStr">
        <is>
          <t>MOTIVATION</t>
        </is>
      </c>
      <c r="B9" s="13" t="inlineStr">
        <is>
          <t>Ressources limitées</t>
        </is>
      </c>
      <c r="C9" s="13" t="inlineStr">
        <is>
          <t>Ressources significatives</t>
        </is>
      </c>
      <c r="D9" s="13" t="inlineStr">
        <is>
          <t>Ressources importantes</t>
        </is>
      </c>
      <c r="E9" s="13" t="inlineStr">
        <is>
          <t>Ressources illimitées</t>
        </is>
      </c>
    </row>
    <row r="10" ht="36" customHeight="1" s="70">
      <c r="A10" s="13" t="inlineStr">
        <is>
          <t>Fortement motivé</t>
        </is>
      </c>
      <c r="B10" s="22" t="inlineStr">
        <is>
          <t>Moyennement pertinent</t>
        </is>
      </c>
      <c r="C10" s="19" t="inlineStr">
        <is>
          <t>Plutôt pertinent</t>
        </is>
      </c>
      <c r="D10" s="16" t="inlineStr">
        <is>
          <t>Très pertinent</t>
        </is>
      </c>
      <c r="E10" s="16" t="inlineStr">
        <is>
          <t>Très pertinent</t>
        </is>
      </c>
    </row>
    <row r="11" ht="36" customHeight="1" s="70">
      <c r="A11" s="13" t="inlineStr">
        <is>
          <t>Assez motivé</t>
        </is>
      </c>
      <c r="B11" s="22" t="inlineStr">
        <is>
          <t>Moyennement pertinent</t>
        </is>
      </c>
      <c r="C11" s="19" t="inlineStr">
        <is>
          <t>Plutôt pertinent</t>
        </is>
      </c>
      <c r="D11" s="19" t="inlineStr">
        <is>
          <t>Plutôt pertinent</t>
        </is>
      </c>
      <c r="E11" s="16" t="inlineStr">
        <is>
          <t>Très pertinent</t>
        </is>
      </c>
    </row>
    <row r="12" ht="36" customHeight="1" s="70">
      <c r="A12" s="13" t="inlineStr">
        <is>
          <t>Peu motivé</t>
        </is>
      </c>
      <c r="B12" s="25" t="inlineStr">
        <is>
          <t>Peu pertinent</t>
        </is>
      </c>
      <c r="C12" s="22" t="inlineStr">
        <is>
          <t>Moyennement pertinent</t>
        </is>
      </c>
      <c r="D12" s="19" t="inlineStr">
        <is>
          <t>Plutôt pertinent</t>
        </is>
      </c>
      <c r="E12" s="19" t="inlineStr">
        <is>
          <t>Plutôt pertinent</t>
        </is>
      </c>
    </row>
    <row r="13" ht="36" customHeight="1" s="70">
      <c r="A13" s="13" t="inlineStr">
        <is>
          <t>Très peu motivé</t>
        </is>
      </c>
      <c r="B13" s="25" t="inlineStr">
        <is>
          <t>Peu pertinent</t>
        </is>
      </c>
      <c r="C13" s="25" t="inlineStr">
        <is>
          <t>Peu pertinent</t>
        </is>
      </c>
      <c r="D13" s="22" t="inlineStr">
        <is>
          <t>Moyennement pertinent</t>
        </is>
      </c>
      <c r="E13" s="22" t="inlineStr">
        <is>
          <t>Moyennement pertinent</t>
        </is>
      </c>
    </row>
    <row r="15" ht="21.75" customHeight="1" s="70">
      <c r="A15" s="88" t="inlineStr">
        <is>
          <t>Définition des niveaux de motivation</t>
        </is>
      </c>
    </row>
    <row r="16" ht="25.5" customHeight="1" s="70">
      <c r="A16" s="1" t="inlineStr">
        <is>
          <t>Niveau</t>
        </is>
      </c>
      <c r="B16" s="115" t="inlineStr">
        <is>
          <t>Définition</t>
        </is>
      </c>
      <c r="C16" s="79" t="n"/>
      <c r="D16" s="79" t="n"/>
      <c r="E16" s="94" t="n"/>
    </row>
    <row r="17" ht="42" customHeight="1" s="70">
      <c r="A17" s="3" t="inlineStr">
        <is>
          <t>Fortement motivé</t>
        </is>
      </c>
      <c r="B17" s="91" t="inlineStr">
        <is>
          <t>Enjeu personnel direct, gain financier élevé, idéologie forte, intérêt stratégique majeur. La source poursuivra son objectif coûte que coûte.</t>
        </is>
      </c>
      <c r="C17" s="79" t="n"/>
      <c r="D17" s="79" t="n"/>
      <c r="E17" s="79" t="n"/>
    </row>
    <row r="18" ht="42" customHeight="1" s="70">
      <c r="A18" s="3" t="inlineStr">
        <is>
          <t>Assez motivé</t>
        </is>
      </c>
      <c r="B18" s="92" t="inlineStr">
        <is>
          <t>Enjeu réel mais non vital. La source poursuivra son objectif si l'opportunité s'offre, mais pas à tout prix.</t>
        </is>
      </c>
      <c r="C18" s="79" t="n"/>
      <c r="D18" s="79" t="n"/>
      <c r="E18" s="79" t="n"/>
    </row>
    <row r="19" ht="42" customHeight="1" s="70">
      <c r="A19" s="3" t="inlineStr">
        <is>
          <t>Peu motivé</t>
        </is>
      </c>
      <c r="B19" s="91" t="inlineStr">
        <is>
          <t>Intérêt opportuniste, défi ponctuel, curiosité. La source attaque si l'attaque est facile, sinon abandonne.</t>
        </is>
      </c>
      <c r="C19" s="79" t="n"/>
      <c r="D19" s="79" t="n"/>
      <c r="E19" s="79" t="n"/>
    </row>
    <row r="20" ht="42" customHeight="1" s="70">
      <c r="A20" s="3" t="inlineStr">
        <is>
          <t>Très peu motivé</t>
        </is>
      </c>
      <c r="B20" s="92" t="inlineStr">
        <is>
          <t>Pas d'intérêt direct envers l'objet d'étude. L'organisation pourrait être affectée comme dommage collatéral d'une attaque non ciblée.</t>
        </is>
      </c>
      <c r="C20" s="79" t="n"/>
      <c r="D20" s="79" t="n"/>
      <c r="E20" s="79" t="n"/>
    </row>
    <row r="22" ht="21.75" customHeight="1" s="70">
      <c r="A22" s="88" t="inlineStr">
        <is>
          <t>Définition des niveaux de ressources</t>
        </is>
      </c>
    </row>
    <row r="23" ht="25.5" customHeight="1" s="70">
      <c r="A23" s="1" t="inlineStr">
        <is>
          <t>Niveau</t>
        </is>
      </c>
      <c r="B23" s="115" t="inlineStr">
        <is>
          <t>Définition</t>
        </is>
      </c>
      <c r="C23" s="79" t="n"/>
      <c r="D23" s="79" t="n"/>
      <c r="E23" s="94" t="n"/>
    </row>
    <row r="24" ht="48" customHeight="1" s="70">
      <c r="A24" s="3" t="inlineStr">
        <is>
          <t>Ressources limitées</t>
        </is>
      </c>
      <c r="B24" s="91" t="inlineStr">
        <is>
          <t>Outillage standard (Kali, scripts publics), compétences faibles à moyennes, temps disponible limité, pas de ressources financières dédiées à l'attaque.</t>
        </is>
      </c>
      <c r="C24" s="79" t="n"/>
      <c r="D24" s="79" t="n"/>
      <c r="E24" s="79" t="n"/>
    </row>
    <row r="25" ht="48" customHeight="1" s="70">
      <c r="A25" s="3" t="inlineStr">
        <is>
          <t>Ressources significatives</t>
        </is>
      </c>
      <c r="B25" s="92" t="inlineStr">
        <is>
          <t>Outillage avancé, compétences intermédiaires à fortes, temps disponible important. Profil typique : groupe organisé sans soutien étatique, insider qualifié, hacktiviste structuré.</t>
        </is>
      </c>
      <c r="C25" s="79" t="n"/>
      <c r="D25" s="79" t="n"/>
      <c r="E25" s="79" t="n"/>
    </row>
    <row r="26" ht="48" customHeight="1" s="70">
      <c r="A26" s="3" t="inlineStr">
        <is>
          <t>Ressources importantes</t>
        </is>
      </c>
      <c r="B26" s="91" t="inlineStr">
        <is>
          <t>Infrastructure d'attaque dédiée (C2, kits sur-mesure), compétences fortes, ressources financières conséquentes. Profil typique : groupe cybercriminel organisé (RaaS).</t>
        </is>
      </c>
      <c r="C26" s="79" t="n"/>
      <c r="D26" s="79" t="n"/>
      <c r="E26" s="79" t="n"/>
    </row>
    <row r="27" ht="48" customHeight="1" s="70">
      <c r="A27" s="3" t="inlineStr">
        <is>
          <t>Ressources illimitées</t>
        </is>
      </c>
      <c r="B27" s="92" t="inlineStr">
        <is>
          <t>Capacités étatiques type APT : 0-days, ressources humaines et financières quasi sans limite, opérations longue durée, supply-chain attacks possibles.</t>
        </is>
      </c>
      <c r="C27" s="79" t="n"/>
      <c r="D27" s="79" t="n"/>
      <c r="E27" s="79" t="n"/>
    </row>
    <row r="29" ht="21.75" customHeight="1" s="70">
      <c r="A29" s="88" t="inlineStr">
        <is>
          <t>Définition des niveaux de pertinence et décision associée</t>
        </is>
      </c>
    </row>
    <row r="30" ht="25.5" customHeight="1" s="70">
      <c r="A30" s="1" t="inlineStr">
        <is>
          <t>Pertinence</t>
        </is>
      </c>
      <c r="B30" s="115" t="inlineStr">
        <is>
          <t>Signification</t>
        </is>
      </c>
      <c r="C30" s="94" t="n"/>
      <c r="D30" s="115" t="inlineStr">
        <is>
          <t>Décision suggérée</t>
        </is>
      </c>
      <c r="E30" s="94" t="n"/>
    </row>
    <row r="31" ht="37.5" customHeight="1" s="70">
      <c r="A31" s="25" t="inlineStr">
        <is>
          <t>Peu pertinent</t>
        </is>
      </c>
      <c r="B31" s="91" t="inlineStr">
        <is>
          <t>Couple théoriquement possible mais peu susceptible de se concrétiser : motivation faible et/ou ressources insuffisantes.</t>
        </is>
      </c>
      <c r="C31" s="79" t="n"/>
      <c r="D31" s="90" t="inlineStr">
        <is>
          <t>Écarté</t>
        </is>
      </c>
      <c r="E31" s="79" t="n"/>
    </row>
    <row r="32" ht="37.5" customHeight="1" s="70">
      <c r="A32" s="22" t="inlineStr">
        <is>
          <t>Moyennement pertinent</t>
        </is>
      </c>
      <c r="B32" s="91" t="inlineStr">
        <is>
          <t>Couple plausible mais non prioritaire. Mérite d'être surveillé pour détecter une évolution.</t>
        </is>
      </c>
      <c r="C32" s="79" t="n"/>
      <c r="D32" s="90" t="inlineStr">
        <is>
          <t>Surveillance</t>
        </is>
      </c>
      <c r="E32" s="79" t="n"/>
    </row>
    <row r="33" ht="37.5" customHeight="1" s="70">
      <c r="A33" s="19" t="inlineStr">
        <is>
          <t>Plutôt pertinent</t>
        </is>
      </c>
      <c r="B33" s="91" t="inlineStr">
        <is>
          <t>Couple probable à intégrer dans l'analyse des scénarios stratégiques (atelier 3).</t>
        </is>
      </c>
      <c r="C33" s="79" t="n"/>
      <c r="D33" s="90" t="inlineStr">
        <is>
          <t>Retenu</t>
        </is>
      </c>
      <c r="E33" s="79" t="n"/>
    </row>
    <row r="34" ht="37.5" customHeight="1" s="70">
      <c r="A34" s="16" t="inlineStr">
        <is>
          <t>Très pertinent</t>
        </is>
      </c>
      <c r="B34" s="91" t="inlineStr">
        <is>
          <t>Couple hautement probable à intégrer prioritairement dans les scénarios stratégiques.</t>
        </is>
      </c>
      <c r="C34" s="79" t="n"/>
      <c r="D34" s="90" t="inlineStr">
        <is>
          <t>Retenu</t>
        </is>
      </c>
      <c r="E34" s="79" t="n"/>
    </row>
  </sheetData>
  <mergeCells count="27">
    <mergeCell ref="A15:E15"/>
    <mergeCell ref="D34:E34"/>
    <mergeCell ref="B24:E24"/>
    <mergeCell ref="B31:C31"/>
    <mergeCell ref="B20:E20"/>
    <mergeCell ref="A6:E6"/>
    <mergeCell ref="D31:E31"/>
    <mergeCell ref="B26:E26"/>
    <mergeCell ref="B16:E16"/>
    <mergeCell ref="D32:E32"/>
    <mergeCell ref="B25:E25"/>
    <mergeCell ref="B18:E18"/>
    <mergeCell ref="B27:E27"/>
    <mergeCell ref="B34:C34"/>
    <mergeCell ref="A1:E2"/>
    <mergeCell ref="A22:E22"/>
    <mergeCell ref="B17:E17"/>
    <mergeCell ref="B30:C30"/>
    <mergeCell ref="A29:E29"/>
    <mergeCell ref="B23:E23"/>
    <mergeCell ref="D30:E30"/>
    <mergeCell ref="A4:E4"/>
    <mergeCell ref="B8:E8"/>
    <mergeCell ref="B33:C33"/>
    <mergeCell ref="D33:E33"/>
    <mergeCell ref="B32:C32"/>
    <mergeCell ref="B19:E19"/>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12"/>
  <sheetViews>
    <sheetView showGridLines="0" zoomScaleNormal="100" workbookViewId="0">
      <pane ySplit="7" topLeftCell="A10" activePane="bottomLeft" state="frozen"/>
      <selection pane="bottomLeft" activeCell="C10" sqref="C10"/>
    </sheetView>
  </sheetViews>
  <sheetFormatPr baseColWidth="10" defaultColWidth="8.703125" defaultRowHeight="14.35"/>
  <cols>
    <col width="8" customWidth="1" style="70" min="1" max="1"/>
    <col width="32" customWidth="1" style="70" min="2" max="2"/>
    <col width="14" customWidth="1" style="70" min="3" max="3"/>
    <col width="60" customWidth="1" style="70" min="4" max="4"/>
    <col width="22" customWidth="1" style="70" min="5" max="5"/>
  </cols>
  <sheetData>
    <row r="1" ht="25.5" customHeight="1" s="70">
      <c r="A1" s="76" t="inlineStr">
        <is>
          <t>A2.1 - Sources de risque</t>
        </is>
      </c>
    </row>
    <row r="2" ht="25.5" customHeight="1" s="70"/>
    <row r="4" ht="90" customHeight="1" s="70">
      <c r="A4" s="78" t="inlineStr">
        <is>
          <t>Liste des sources de risque identifiés au regard de l'entité Unicampus+. Cette liste (qui n'est pas en elle-même un livrable de l'atlier 2) sert à l'établissement des couples SR/OV.
Nous notons qu'ils ne nous a pas parru pertinant de considerer les erreurs humaines comme une source de risque, ces dernières n'ayant aucune motivation ni capacité propre.</t>
        </is>
      </c>
      <c r="B4" s="79" t="n"/>
      <c r="C4" s="79" t="n"/>
      <c r="D4" s="79" t="n"/>
      <c r="E4" s="79" t="n"/>
    </row>
    <row r="6" ht="21.75" customHeight="1" s="70">
      <c r="A6" s="88" t="inlineStr">
        <is>
          <t>Typologie des sources de risque retenues pour UniCampus+</t>
        </is>
      </c>
    </row>
    <row r="7" ht="31.5" customHeight="1" s="70">
      <c r="A7" s="1" t="inlineStr">
        <is>
          <t>Code SR</t>
        </is>
      </c>
      <c r="B7" s="1" t="inlineStr">
        <is>
          <t>Libellé</t>
        </is>
      </c>
      <c r="C7" s="1" t="inlineStr">
        <is>
          <t>Profil</t>
        </is>
      </c>
      <c r="D7" s="1" t="inlineStr">
        <is>
          <t>Description et profil sociologique</t>
        </is>
      </c>
      <c r="E7" s="1" t="inlineStr">
        <is>
          <t>Capacités typiques</t>
        </is>
      </c>
    </row>
    <row r="8" ht="99.75" customHeight="1" s="70">
      <c r="A8" s="3" t="inlineStr">
        <is>
          <t>SR-A</t>
        </is>
      </c>
      <c r="B8" s="34" t="inlineStr">
        <is>
          <t>Étudiant malveillant</t>
        </is>
      </c>
      <c r="C8" s="10" t="inlineStr">
        <is>
          <t>Interne</t>
        </is>
      </c>
      <c r="D8" s="5" t="inlineStr">
        <is>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is>
      </c>
      <c r="E8" s="5" t="inlineStr">
        <is>
          <t>Motivation variable selon l'OV ; ressources globalement significatives (compétences disponibles, temps illimité, accès interne).</t>
        </is>
      </c>
    </row>
    <row r="9" ht="99.75" customHeight="1" s="70">
      <c r="A9" s="7" t="inlineStr">
        <is>
          <t>SR-B</t>
        </is>
      </c>
      <c r="B9" s="35" t="inlineStr">
        <is>
          <t>Cybercriminel organisé</t>
        </is>
      </c>
      <c r="C9" s="11" t="inlineStr">
        <is>
          <t>Externe</t>
        </is>
      </c>
      <c r="D9" s="8" t="inlineStr">
        <is>
          <t>Groupe cybercriminel à objectif financier (ransomware-as-a-service, revente de données). Cible opportuniste : UniCampus+ représente une cible attractive (budget public, données nombreuses, sécurité historiquement faible dans l'ESR français).</t>
        </is>
      </c>
      <c r="E9" s="8" t="inlineStr">
        <is>
          <t>Motivation forte (gain financier) ; ressources importantes (kits ransomware matures, infrastructure C2).</t>
        </is>
      </c>
    </row>
    <row r="10" ht="99.75" customHeight="1" s="70">
      <c r="A10" s="3" t="inlineStr">
        <is>
          <t>SR-C</t>
        </is>
      </c>
      <c r="B10" s="34" t="inlineStr">
        <is>
          <t>Acteur étatique / concurrent (APT)</t>
        </is>
      </c>
      <c r="C10" s="10" t="inlineStr">
        <is>
          <t>Externe</t>
        </is>
      </c>
      <c r="D10" s="5" t="inlineStr">
        <is>
          <t>Service de renseignement étranger ou concurrent industriel ciblant le patrimoine scientifique d'UniCampus+. Pertinence dépendant du caractère stratégique des recherches conduites (dual-use, IA, biotech, cryptographie…).</t>
        </is>
      </c>
      <c r="E10" s="5" t="inlineStr">
        <is>
          <t>Motivation modérée à forte selon les domaines de recherche ; ressources illimitées (APT, supply-chain, 0-days).</t>
        </is>
      </c>
    </row>
    <row r="11" ht="99.75" customHeight="1" s="70">
      <c r="A11" s="7" t="inlineStr">
        <is>
          <t>SR-D</t>
        </is>
      </c>
      <c r="B11" s="35" t="inlineStr">
        <is>
          <t>Hacktiviste</t>
        </is>
      </c>
      <c r="C11" s="11" t="inlineStr">
        <is>
          <t>Externe</t>
        </is>
      </c>
      <c r="D11" s="8" t="inlineStr">
        <is>
          <t>Individu ou collectif motivé par une cause idéologique (transparence, justice sociale, animaux de laboratoire, partenariats industriels controversés). Capable d'attaques médiatisées (défacement, fuites volontaires).</t>
        </is>
      </c>
      <c r="E11" s="8" t="inlineStr">
        <is>
          <t>Motivation variable selon les causes pertinentes vis-à-vis d'UniCampus+ ; ressources significatives (compétences réelles, outillage public et privé).</t>
        </is>
      </c>
    </row>
    <row r="12" ht="99.75" customHeight="1" s="70">
      <c r="A12" s="3" t="inlineStr">
        <is>
          <t>SR-E</t>
        </is>
      </c>
      <c r="B12" s="34" t="inlineStr">
        <is>
          <t>Personnel mécontent ou ex-personnel</t>
        </is>
      </c>
      <c r="C12" s="10" t="inlineStr">
        <is>
          <t>Interne ou ex-interne</t>
        </is>
      </c>
      <c r="D12" s="5" t="inlineStr">
        <is>
          <t>Membre ou ancien membre du personnel administratif, enseignant ou DSI, agissant par vengeance, fraude personnelle ou en réaction à un licenciement, une sanction ou un conflit. Bénéficie d'un accès légitime ou résiduel (compte non révoqué) et d'une connaissance fine du SI.</t>
        </is>
      </c>
      <c r="E12" s="5" t="inlineStr">
        <is>
          <t>Motivation modérée à forte selon le contexte (fraude RH, vengeance) ; ressources significatives (accès interne, connaissance du SI).</t>
        </is>
      </c>
    </row>
  </sheetData>
  <mergeCells count="3">
    <mergeCell ref="A6:E6"/>
    <mergeCell ref="A4:E4"/>
    <mergeCell ref="A1:E2"/>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16"/>
  <sheetViews>
    <sheetView showGridLines="0" zoomScale="70" zoomScaleNormal="70" workbookViewId="0">
      <pane ySplit="7" topLeftCell="A8" activePane="bottomLeft" state="frozen"/>
      <selection pane="bottomLeft" activeCell="A4" sqref="A4:H4"/>
    </sheetView>
  </sheetViews>
  <sheetFormatPr baseColWidth="10" defaultColWidth="8.703125" defaultRowHeight="14.35"/>
  <cols>
    <col width="9" customWidth="1" style="70" min="1" max="1"/>
    <col width="28" customWidth="1" style="70" min="2" max="2"/>
    <col width="38" customWidth="1" style="70" min="3" max="3"/>
    <col width="20" customWidth="1" style="70" min="4" max="4"/>
    <col width="24" customWidth="1" style="70" min="5" max="6"/>
    <col width="16" customWidth="1" style="70" min="7" max="8"/>
  </cols>
  <sheetData>
    <row r="1" ht="25.5" customHeight="1" s="70">
      <c r="A1" s="76" t="inlineStr">
        <is>
          <t>A2.2 - Couples Source de risque / Objectif visé</t>
        </is>
      </c>
    </row>
    <row r="2" ht="25.5" customHeight="1" s="70"/>
    <row r="4" ht="90" customHeight="1" s="70">
      <c r="A4" s="78" t="inlineStr">
        <is>
          <t>Première sortie de l'atelier  2 : Tableau des couples SR/OV évalués pour UniCampus+.</t>
        </is>
      </c>
      <c r="B4" s="79" t="n"/>
      <c r="C4" s="79" t="n"/>
      <c r="D4" s="79" t="n"/>
      <c r="E4" s="79" t="n"/>
      <c r="F4" s="79" t="n"/>
      <c r="G4" s="79" t="n"/>
      <c r="H4" s="79" t="n"/>
    </row>
    <row r="6" ht="21.75" customHeight="1" s="70">
      <c r="A6" s="88" t="inlineStr">
        <is>
          <t>Liste des couples SR/OV évalués</t>
        </is>
      </c>
    </row>
    <row r="7" ht="36" customHeight="1" s="70">
      <c r="A7" s="1" t="inlineStr">
        <is>
          <t>Code couple</t>
        </is>
      </c>
      <c r="B7" s="1" t="inlineStr">
        <is>
          <t>Source de risque</t>
        </is>
      </c>
      <c r="C7" s="1" t="inlineStr">
        <is>
          <t>Objectif visé</t>
        </is>
      </c>
      <c r="D7" s="1" t="inlineStr">
        <is>
          <t>Motivation</t>
        </is>
      </c>
      <c r="E7" s="1" t="inlineStr">
        <is>
          <t>Ressources</t>
        </is>
      </c>
      <c r="F7" s="1" t="inlineStr">
        <is>
          <t>Pertinence (calculée)</t>
        </is>
      </c>
      <c r="G7" s="1" t="inlineStr">
        <is>
          <t>Décision</t>
        </is>
      </c>
      <c r="H7" s="1" t="inlineStr">
        <is>
          <t>ER ciblé(s)</t>
        </is>
      </c>
    </row>
    <row r="8" ht="55.5" customHeight="1" s="70">
      <c r="A8" s="3" t="inlineStr">
        <is>
          <t>C01</t>
        </is>
      </c>
      <c r="B8" s="5" t="inlineStr">
        <is>
          <t>SR-A Étudiant malveillant</t>
        </is>
      </c>
      <c r="C8" s="5" t="inlineStr">
        <is>
          <t>Compromettre les résultats académiques (modifier notes, voler sujets d'examen)</t>
        </is>
      </c>
      <c r="D8" s="10" t="inlineStr">
        <is>
          <t>Fortement motivé</t>
        </is>
      </c>
      <c r="E8" s="10" t="inlineStr">
        <is>
          <t>Ressources significatives</t>
        </is>
      </c>
      <c r="F8" s="3">
        <f>IFERROR(INDEX('A2.0 Échelle de pertinence'!$B$10:$E$13,MATCH(D8,'A2.0 Échelle de pertinence'!$A$10:$A$13,0),MATCH(E8,'A2.0 Échelle de pertinence'!$B$9:$E$9,0)),"")</f>
        <v/>
      </c>
      <c r="G8" s="3" t="inlineStr">
        <is>
          <t>Retenu</t>
        </is>
      </c>
      <c r="H8" s="3" t="inlineStr">
        <is>
          <t>ER03</t>
        </is>
      </c>
    </row>
    <row r="9" ht="55.5" customHeight="1" s="70">
      <c r="A9" s="7" t="inlineStr">
        <is>
          <t>C02</t>
        </is>
      </c>
      <c r="B9" s="8" t="inlineStr">
        <is>
          <t>SR-A Étudiant malveillant</t>
        </is>
      </c>
      <c r="C9" s="8" t="inlineStr">
        <is>
          <t>Sabotage opportuniste (défi, curiosité, perturbation d'une session d'examens)</t>
        </is>
      </c>
      <c r="D9" s="11" t="inlineStr">
        <is>
          <t>Peu motivé</t>
        </is>
      </c>
      <c r="E9" s="11" t="inlineStr">
        <is>
          <t>Ressources significatives</t>
        </is>
      </c>
      <c r="F9" s="3">
        <f>IFERROR(INDEX('A2.0 Échelle de pertinence'!$B$10:$E$13,MATCH(D9,'A2.0 Échelle de pertinence'!$A$10:$A$13,0),MATCH(E9,'A2.0 Échelle de pertinence'!$B$9:$E$9,0)),"")</f>
        <v/>
      </c>
      <c r="G9" s="7" t="inlineStr">
        <is>
          <t>Surveillance</t>
        </is>
      </c>
      <c r="H9" s="7" t="inlineStr">
        <is>
          <t>ER04, ER08</t>
        </is>
      </c>
    </row>
    <row r="10" ht="55.5" customHeight="1" s="70">
      <c r="A10" s="3" t="inlineStr">
        <is>
          <t>C03</t>
        </is>
      </c>
      <c r="B10" s="5" t="inlineStr">
        <is>
          <t>SR-B Cybercriminel organisé</t>
        </is>
      </c>
      <c r="C10" s="5" t="inlineStr">
        <is>
          <t>Extorquer une rançon par chiffrement de l'infrastructure</t>
        </is>
      </c>
      <c r="D10" s="10" t="inlineStr">
        <is>
          <t>Fortement motivé</t>
        </is>
      </c>
      <c r="E10" s="10" t="inlineStr">
        <is>
          <t>Ressources importantes</t>
        </is>
      </c>
      <c r="F10" s="3">
        <f>IFERROR(INDEX('A2.0 Échelle de pertinence'!$B$10:$E$13,MATCH(D10,'A2.0 Échelle de pertinence'!$A$10:$A$13,0),MATCH(E10,'A2.0 Échelle de pertinence'!$B$9:$E$9,0)),"")</f>
        <v/>
      </c>
      <c r="G10" s="3" t="inlineStr">
        <is>
          <t>Retenu</t>
        </is>
      </c>
      <c r="H10" s="3" t="inlineStr">
        <is>
          <t>ER06, ER04</t>
        </is>
      </c>
    </row>
    <row r="11" ht="55.5" customHeight="1" s="70">
      <c r="A11" s="7" t="inlineStr">
        <is>
          <t>C04</t>
        </is>
      </c>
      <c r="B11" s="8" t="inlineStr">
        <is>
          <t>SR-B Cybercriminel organisé</t>
        </is>
      </c>
      <c r="C11" s="8" t="inlineStr">
        <is>
          <t>Revendre les données personnelles des étudiants et personnels sur le marché noir</t>
        </is>
      </c>
      <c r="D11" s="11" t="inlineStr">
        <is>
          <t>Assez motivé</t>
        </is>
      </c>
      <c r="E11" s="11" t="inlineStr">
        <is>
          <t>Ressources importantes</t>
        </is>
      </c>
      <c r="F11" s="3">
        <f>IFERROR(INDEX('A2.0 Échelle de pertinence'!$B$10:$E$13,MATCH(D11,'A2.0 Échelle de pertinence'!$A$10:$A$13,0),MATCH(E11,'A2.0 Échelle de pertinence'!$B$9:$E$9,0)),"")</f>
        <v/>
      </c>
      <c r="G11" s="7" t="inlineStr">
        <is>
          <t>Retenu</t>
        </is>
      </c>
      <c r="H11" s="7" t="inlineStr">
        <is>
          <t>ER01</t>
        </is>
      </c>
    </row>
    <row r="12" ht="55.5" customHeight="1" s="70">
      <c r="A12" s="3" t="inlineStr">
        <is>
          <t>C05</t>
        </is>
      </c>
      <c r="B12" s="5" t="inlineStr">
        <is>
          <t>SR-C Acteur étatique / concurrent</t>
        </is>
      </c>
      <c r="C12" s="5" t="inlineStr">
        <is>
          <t>Exfiltrer le patrimoine scientifique stratégique des laboratoires</t>
        </is>
      </c>
      <c r="D12" s="10" t="inlineStr">
        <is>
          <t>Assez motivé</t>
        </is>
      </c>
      <c r="E12" s="10" t="inlineStr">
        <is>
          <t>Ressources illimitées</t>
        </is>
      </c>
      <c r="F12" s="3">
        <f>IFERROR(INDEX('A2.0 Échelle de pertinence'!$B$10:$E$13,MATCH(D12,'A2.0 Échelle de pertinence'!$A$10:$A$13,0),MATCH(E12,'A2.0 Échelle de pertinence'!$B$9:$E$9,0)),"")</f>
        <v/>
      </c>
      <c r="G12" s="3" t="inlineStr">
        <is>
          <t>Retenu</t>
        </is>
      </c>
      <c r="H12" s="3" t="inlineStr">
        <is>
          <t>ER02</t>
        </is>
      </c>
    </row>
    <row r="13" ht="55.5" customHeight="1" s="70">
      <c r="A13" s="7" t="inlineStr">
        <is>
          <t>C06</t>
        </is>
      </c>
      <c r="B13" s="8" t="inlineStr">
        <is>
          <t>SR-D Hacktiviste</t>
        </is>
      </c>
      <c r="C13" s="8" t="inlineStr">
        <is>
          <t>Publier des données personnelles pour discréditer l'institution</t>
        </is>
      </c>
      <c r="D13" s="11" t="inlineStr">
        <is>
          <t>Peu motivé</t>
        </is>
      </c>
      <c r="E13" s="11" t="inlineStr">
        <is>
          <t>Ressources significatives</t>
        </is>
      </c>
      <c r="F13" s="3">
        <f>IFERROR(INDEX('A2.0 Échelle de pertinence'!$B$10:$E$13,MATCH(D13,'A2.0 Échelle de pertinence'!$A$10:$A$13,0),MATCH(E13,'A2.0 Échelle de pertinence'!$B$9:$E$9,0)),"")</f>
        <v/>
      </c>
      <c r="G13" s="7" t="inlineStr">
        <is>
          <t>Surveillance</t>
        </is>
      </c>
      <c r="H13" s="7" t="inlineStr">
        <is>
          <t>ER01</t>
        </is>
      </c>
    </row>
    <row r="14" ht="55.5" customHeight="1" s="70">
      <c r="A14" s="3" t="inlineStr">
        <is>
          <t>C07</t>
        </is>
      </c>
      <c r="B14" s="5" t="inlineStr">
        <is>
          <t>SR-D Hacktiviste</t>
        </is>
      </c>
      <c r="C14" s="5" t="inlineStr">
        <is>
          <t>Défacer la plateforme Moodle ou saboter l'image institutionnelle</t>
        </is>
      </c>
      <c r="D14" s="10" t="inlineStr">
        <is>
          <t>Peu motivé</t>
        </is>
      </c>
      <c r="E14" s="10" t="inlineStr">
        <is>
          <t>Ressources significatives</t>
        </is>
      </c>
      <c r="F14" s="3">
        <f>IFERROR(INDEX('A2.0 Échelle de pertinence'!$B$10:$E$13,MATCH(D14,'A2.0 Échelle de pertinence'!$A$10:$A$13,0),MATCH(E14,'A2.0 Échelle de pertinence'!$B$9:$E$9,0)),"")</f>
        <v/>
      </c>
      <c r="G14" s="3" t="inlineStr">
        <is>
          <t>Surveillance</t>
        </is>
      </c>
      <c r="H14" s="3" t="inlineStr">
        <is>
          <t>ER04, ER08</t>
        </is>
      </c>
    </row>
    <row r="15" ht="55.5" customHeight="1" s="70">
      <c r="A15" s="7" t="inlineStr">
        <is>
          <t>C08</t>
        </is>
      </c>
      <c r="B15" s="8" t="inlineStr">
        <is>
          <t>SR-E Personnel mécontent ou ex-personnel</t>
        </is>
      </c>
      <c r="C15" s="8" t="inlineStr">
        <is>
          <t>Détourner la paie ou frauder le système de gestion RH</t>
        </is>
      </c>
      <c r="D15" s="11" t="inlineStr">
        <is>
          <t>Assez motivé</t>
        </is>
      </c>
      <c r="E15" s="11" t="inlineStr">
        <is>
          <t>Ressources significatives</t>
        </is>
      </c>
      <c r="F15" s="3">
        <f>IFERROR(INDEX('A2.0 Échelle de pertinence'!$B$10:$E$13,MATCH(D15,'A2.0 Échelle de pertinence'!$A$10:$A$13,0),MATCH(E15,'A2.0 Échelle de pertinence'!$B$9:$E$9,0)),"")</f>
        <v/>
      </c>
      <c r="G15" s="7" t="inlineStr">
        <is>
          <t>Retenu</t>
        </is>
      </c>
      <c r="H15" s="7" t="inlineStr">
        <is>
          <t>ER05</t>
        </is>
      </c>
    </row>
    <row r="16" ht="55.5" customHeight="1" s="70">
      <c r="A16" s="3" t="inlineStr">
        <is>
          <t>C09</t>
        </is>
      </c>
      <c r="B16" s="5" t="inlineStr">
        <is>
          <t>SR-E Personnel mécontent ou ex-personnel</t>
        </is>
      </c>
      <c r="C16" s="5" t="inlineStr">
        <is>
          <t>Détruire ou altérer des données par vengeance</t>
        </is>
      </c>
      <c r="D16" s="10" t="inlineStr">
        <is>
          <t>Assez motivé</t>
        </is>
      </c>
      <c r="E16" s="10" t="inlineStr">
        <is>
          <t>Ressources significatives</t>
        </is>
      </c>
      <c r="F16" s="3">
        <f>IFERROR(INDEX('A2.0 Échelle de pertinence'!$B$10:$E$13,MATCH(D16,'A2.0 Échelle de pertinence'!$A$10:$A$13,0),MATCH(E16,'A2.0 Échelle de pertinence'!$B$9:$E$9,0)),"")</f>
        <v/>
      </c>
      <c r="G16" s="3" t="inlineStr">
        <is>
          <t>Retenu</t>
        </is>
      </c>
      <c r="H16" s="3" t="inlineStr">
        <is>
          <t>ER05, ER09</t>
        </is>
      </c>
    </row>
  </sheetData>
  <mergeCells count="3">
    <mergeCell ref="A1:H2"/>
    <mergeCell ref="A6:H6"/>
    <mergeCell ref="A4:H4"/>
  </mergeCells>
  <conditionalFormatting sqref="F8:F16">
    <cfRule type="cellIs" priority="2" operator="equal" dxfId="2">
      <formula>"Peu pertinent"</formula>
    </cfRule>
    <cfRule type="cellIs" priority="3" operator="equal" dxfId="1">
      <formula>"Moyennement pertinent"</formula>
    </cfRule>
    <cfRule type="cellIs" priority="4" operator="equal" dxfId="4">
      <formula>"Plutôt pertinent"</formula>
    </cfRule>
    <cfRule type="cellIs" priority="5" operator="equal" dxfId="0">
      <formula>"Très pertinent"</formula>
    </cfRule>
  </conditionalFormatting>
  <dataValidations count="1">
    <dataValidation sqref="G8:G16" showDropDown="0" showInputMessage="0" showErrorMessage="0" allowBlank="0" errorTitle="Valeur invalide" error="Choisir parmi : Retenu, Surveillance, Écarté." type="list">
      <formula1>"Retenu,Surveillance,Écarté"</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0"/>
  <sheetViews>
    <sheetView showGridLines="0" zoomScaleNormal="100" workbookViewId="0">
      <pane ySplit="7" topLeftCell="A13" activePane="bottomLeft" state="frozen"/>
      <selection pane="bottomLeft" activeCell="A4" sqref="A4:F4"/>
    </sheetView>
  </sheetViews>
  <sheetFormatPr baseColWidth="10" defaultColWidth="8.703125" defaultRowHeight="14.35"/>
  <cols>
    <col width="9" customWidth="1" style="70" min="1" max="1"/>
    <col width="36" customWidth="1" style="70" min="2" max="2"/>
    <col width="10" customWidth="1" style="70" min="3" max="3"/>
    <col width="9" customWidth="1" style="70" min="4" max="4"/>
    <col width="50" customWidth="1" style="70" min="5" max="5"/>
    <col width="22" customWidth="1" style="70" min="6" max="6"/>
  </cols>
  <sheetData>
    <row r="1" ht="25.5" customHeight="1" s="70">
      <c r="A1" s="76" t="inlineStr">
        <is>
          <t>A2.3 - Liens entre les couples SR/OV et les événements redoutés</t>
        </is>
      </c>
    </row>
    <row r="2" ht="25.5" customHeight="1" s="70"/>
    <row r="4" ht="90" customHeight="1" s="70">
      <c r="A4" s="78" t="inlineStr">
        <is>
          <t>Seconde sortie de l'atlier 2 : Lien entre les différents couples SR//OV et les ER. Ce tableau est l'équivalent du visuel de la slide 32 du cours. 
Lecture : Pour chaque ER, on liste les couples qui le portent avec leur pertinence par gravité descendante.</t>
        </is>
      </c>
      <c r="B4" s="79" t="n"/>
      <c r="C4" s="79" t="n"/>
      <c r="D4" s="79" t="n"/>
      <c r="E4" s="79" t="n"/>
      <c r="F4" s="79" t="n"/>
    </row>
    <row r="6" ht="21.75" customHeight="1" s="70">
      <c r="A6" s="88" t="inlineStr">
        <is>
          <t>Couples SR/OV portant chaque événement redouté (triés par gravité descendante)</t>
        </is>
      </c>
    </row>
    <row r="7" ht="31.5" customHeight="1" s="70">
      <c r="A7" s="1" t="inlineStr">
        <is>
          <t>Code ER</t>
        </is>
      </c>
      <c r="B7" s="1" t="inlineStr">
        <is>
          <t>Événement redouté</t>
        </is>
      </c>
      <c r="C7" s="1" t="inlineStr">
        <is>
          <t>Gravité</t>
        </is>
      </c>
      <c r="D7" s="1" t="inlineStr">
        <is>
          <t>Code couple</t>
        </is>
      </c>
      <c r="E7" s="1" t="inlineStr">
        <is>
          <t>Couple SR/OV</t>
        </is>
      </c>
      <c r="F7" s="1" t="inlineStr">
        <is>
          <t>Pertinence</t>
        </is>
      </c>
    </row>
    <row r="8" ht="36" customHeight="1" s="70">
      <c r="A8" s="116" t="inlineStr">
        <is>
          <t>ER01</t>
        </is>
      </c>
      <c r="B8" s="117" t="inlineStr">
        <is>
          <t>Fuite massive des données personnelles des étudiants et personnels</t>
        </is>
      </c>
      <c r="C8" s="118" t="inlineStr">
        <is>
          <t>G4</t>
        </is>
      </c>
      <c r="D8" s="3" t="inlineStr">
        <is>
          <t>C04</t>
        </is>
      </c>
      <c r="E8" s="5" t="inlineStr">
        <is>
          <t>SR-B Cybercriminel × Revente de données personnelles</t>
        </is>
      </c>
      <c r="F8" s="36" t="inlineStr">
        <is>
          <t>Plutôt pertinent</t>
        </is>
      </c>
    </row>
    <row r="9" ht="36" customHeight="1" s="70">
      <c r="A9" s="84" t="n"/>
      <c r="B9" s="84" t="n"/>
      <c r="C9" s="84" t="n"/>
      <c r="D9" s="3" t="inlineStr">
        <is>
          <t>C06</t>
        </is>
      </c>
      <c r="E9" s="5" t="inlineStr">
        <is>
          <t>SR-D Hacktiviste × Publication de données pour discrédit</t>
        </is>
      </c>
      <c r="F9" s="37" t="inlineStr">
        <is>
          <t>Moyennement pertinent</t>
        </is>
      </c>
    </row>
    <row r="10" ht="36" customHeight="1" s="70">
      <c r="A10" s="3" t="inlineStr">
        <is>
          <t>ER06</t>
        </is>
      </c>
      <c r="B10" s="5" t="inlineStr">
        <is>
          <t>Interruption massive et simultanée de l'ensemble des services numériques</t>
        </is>
      </c>
      <c r="C10" s="16" t="inlineStr">
        <is>
          <t>G4</t>
        </is>
      </c>
      <c r="D10" s="3" t="inlineStr">
        <is>
          <t>C03</t>
        </is>
      </c>
      <c r="E10" s="5" t="inlineStr">
        <is>
          <t>SR-B Cybercriminel × Extorsion par rançongiciel</t>
        </is>
      </c>
      <c r="F10" s="38" t="inlineStr">
        <is>
          <t>Très pertinent</t>
        </is>
      </c>
    </row>
    <row r="11" ht="36" customHeight="1" s="70">
      <c r="A11" s="3" t="inlineStr">
        <is>
          <t>ER02</t>
        </is>
      </c>
      <c r="B11" s="5" t="inlineStr">
        <is>
          <t>Fuite des données et résultats de recherche</t>
        </is>
      </c>
      <c r="C11" s="19" t="inlineStr">
        <is>
          <t>G3</t>
        </is>
      </c>
      <c r="D11" s="3" t="inlineStr">
        <is>
          <t>C05</t>
        </is>
      </c>
      <c r="E11" s="5" t="inlineStr">
        <is>
          <t>SR-C Acteur étatique × Exfiltration du patrimoine scientifique</t>
        </is>
      </c>
      <c r="F11" s="38" t="inlineStr">
        <is>
          <t>Très pertinent</t>
        </is>
      </c>
    </row>
    <row r="12" ht="36" customHeight="1" s="70">
      <c r="A12" s="3" t="inlineStr">
        <is>
          <t>ER03</t>
        </is>
      </c>
      <c r="B12" s="5" t="inlineStr">
        <is>
          <t>Altération frauduleuse des notes, moyennes ou diplômes</t>
        </is>
      </c>
      <c r="C12" s="19" t="inlineStr">
        <is>
          <t>G3</t>
        </is>
      </c>
      <c r="D12" s="3" t="inlineStr">
        <is>
          <t>C01</t>
        </is>
      </c>
      <c r="E12" s="5" t="inlineStr">
        <is>
          <t>SR-A Étudiant × Compromission des résultats académiques</t>
        </is>
      </c>
      <c r="F12" s="36" t="inlineStr">
        <is>
          <t>Plutôt pertinent</t>
        </is>
      </c>
    </row>
    <row r="13" ht="36" customHeight="1" s="70">
      <c r="A13" s="116" t="inlineStr">
        <is>
          <t>ER04</t>
        </is>
      </c>
      <c r="B13" s="117" t="inlineStr">
        <is>
          <t>Interruption de l'accès aux services pédagogiques &gt; 24 h (notamment examens)</t>
        </is>
      </c>
      <c r="C13" s="119" t="inlineStr">
        <is>
          <t>G3</t>
        </is>
      </c>
      <c r="D13" s="3" t="inlineStr">
        <is>
          <t>C03</t>
        </is>
      </c>
      <c r="E13" s="5" t="inlineStr">
        <is>
          <t>SR-B Cybercriminel × Extorsion par rançongiciel (effet de bord)</t>
        </is>
      </c>
      <c r="F13" s="38" t="inlineStr">
        <is>
          <t>Très pertinent</t>
        </is>
      </c>
    </row>
    <row r="14" ht="36" customHeight="1" s="70">
      <c r="A14" s="83" t="n"/>
      <c r="B14" s="83" t="n"/>
      <c r="C14" s="83" t="n"/>
      <c r="D14" s="3" t="inlineStr">
        <is>
          <t>C02</t>
        </is>
      </c>
      <c r="E14" s="5" t="inlineStr">
        <is>
          <t>SR-A Étudiant × Sabotage opportuniste</t>
        </is>
      </c>
      <c r="F14" s="37" t="inlineStr">
        <is>
          <t>Moyennement pertinent</t>
        </is>
      </c>
    </row>
    <row r="15" ht="36" customHeight="1" s="70">
      <c r="A15" s="84" t="n"/>
      <c r="B15" s="84" t="n"/>
      <c r="C15" s="84" t="n"/>
      <c r="D15" s="3" t="inlineStr">
        <is>
          <t>C07</t>
        </is>
      </c>
      <c r="E15" s="5" t="inlineStr">
        <is>
          <t>SR-D Hacktiviste × Défacement / sabotage image</t>
        </is>
      </c>
      <c r="F15" s="37" t="inlineStr">
        <is>
          <t>Moyennement pertinent</t>
        </is>
      </c>
    </row>
    <row r="16" ht="36" customHeight="1" s="70">
      <c r="A16" s="116" t="inlineStr">
        <is>
          <t>ER05</t>
        </is>
      </c>
      <c r="B16" s="117" t="inlineStr">
        <is>
          <t>Altération frauduleuse de la paie et des données RH</t>
        </is>
      </c>
      <c r="C16" s="119" t="inlineStr">
        <is>
          <t>G3</t>
        </is>
      </c>
      <c r="D16" s="3" t="inlineStr">
        <is>
          <t>C08</t>
        </is>
      </c>
      <c r="E16" s="5" t="inlineStr">
        <is>
          <t>SR-E Personnel mécontent × Détournement de la paie</t>
        </is>
      </c>
      <c r="F16" s="36" t="inlineStr">
        <is>
          <t>Plutôt pertinent</t>
        </is>
      </c>
    </row>
    <row r="17" ht="36" customHeight="1" s="70">
      <c r="A17" s="84" t="n"/>
      <c r="B17" s="84" t="n"/>
      <c r="C17" s="84" t="n"/>
      <c r="D17" s="3" t="inlineStr">
        <is>
          <t>C09</t>
        </is>
      </c>
      <c r="E17" s="5" t="inlineStr">
        <is>
          <t>SR-E Personnel mécontent × Vengeance par destruction (volet RH)</t>
        </is>
      </c>
      <c r="F17" s="36" t="inlineStr">
        <is>
          <t>Plutôt pertinent</t>
        </is>
      </c>
    </row>
    <row r="18" ht="36" customHeight="1" s="70">
      <c r="A18" s="3" t="inlineStr">
        <is>
          <t>ER09</t>
        </is>
      </c>
      <c r="B18" s="5" t="inlineStr">
        <is>
          <t>Perte ou destruction définitive des données de recherche</t>
        </is>
      </c>
      <c r="C18" s="19" t="inlineStr">
        <is>
          <t>G3</t>
        </is>
      </c>
      <c r="D18" s="3" t="inlineStr">
        <is>
          <t>C09</t>
        </is>
      </c>
      <c r="E18" s="5" t="inlineStr">
        <is>
          <t>SR-E Personnel mécontent × Vengeance par destruction</t>
        </is>
      </c>
      <c r="F18" s="36" t="inlineStr">
        <is>
          <t>Plutôt pertinent</t>
        </is>
      </c>
    </row>
    <row r="19" ht="36" customHeight="1" s="70">
      <c r="A19" s="116" t="inlineStr">
        <is>
          <t>ER08</t>
        </is>
      </c>
      <c r="B19" s="117" t="inlineStr">
        <is>
          <t>Détournement de la messagerie pour campagnes externes malveillantes</t>
        </is>
      </c>
      <c r="C19" s="120" t="inlineStr">
        <is>
          <t>G2</t>
        </is>
      </c>
      <c r="D19" s="3" t="inlineStr">
        <is>
          <t>C02</t>
        </is>
      </c>
      <c r="E19" s="5" t="inlineStr">
        <is>
          <t>SR-A Étudiant × Sabotage opportuniste (volet mail)</t>
        </is>
      </c>
      <c r="F19" s="37" t="inlineStr">
        <is>
          <t>Moyennement pertinent</t>
        </is>
      </c>
    </row>
    <row r="20" ht="36" customHeight="1" s="70">
      <c r="A20" s="84" t="n"/>
      <c r="B20" s="84" t="n"/>
      <c r="C20" s="84" t="n"/>
      <c r="D20" s="3" t="inlineStr">
        <is>
          <t>C07</t>
        </is>
      </c>
      <c r="E20" s="5" t="inlineStr">
        <is>
          <t>SR-D Hacktiviste × Défacement / sabotage image (volet mail)</t>
        </is>
      </c>
      <c r="F20" s="37" t="inlineStr">
        <is>
          <t>Moyennement pertinent</t>
        </is>
      </c>
    </row>
  </sheetData>
  <mergeCells count="15">
    <mergeCell ref="C13:C15"/>
    <mergeCell ref="A8:A9"/>
    <mergeCell ref="C8:C9"/>
    <mergeCell ref="B19:B20"/>
    <mergeCell ref="B13:B15"/>
    <mergeCell ref="A1:F2"/>
    <mergeCell ref="A6:F6"/>
    <mergeCell ref="B8:B9"/>
    <mergeCell ref="A16:A17"/>
    <mergeCell ref="A4:F4"/>
    <mergeCell ref="B16:B17"/>
    <mergeCell ref="C16:C17"/>
    <mergeCell ref="A19:A20"/>
    <mergeCell ref="A13:A15"/>
    <mergeCell ref="C19:C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E23"/>
  <sheetViews>
    <sheetView showGridLines="0" zoomScaleNormal="100" workbookViewId="0">
      <pane ySplit="3" topLeftCell="A12" activePane="bottomLeft" state="frozen"/>
      <selection pane="bottomLeft" activeCell="A4" sqref="A4:E4"/>
    </sheetView>
  </sheetViews>
  <sheetFormatPr baseColWidth="10" defaultColWidth="8.703125" defaultRowHeight="14.35"/>
  <cols>
    <col width="17.9375" customWidth="1" style="70" min="1" max="1"/>
    <col width="32" customWidth="1" style="70" min="2" max="5"/>
  </cols>
  <sheetData>
    <row r="1" ht="25.5" customHeight="1" s="70">
      <c r="A1" s="76" t="inlineStr">
        <is>
          <t>A3.0 - Critères d'évaluation de la dangerosité des parties prenantes</t>
        </is>
      </c>
    </row>
    <row r="2" ht="25.5" customHeight="1" s="70"/>
    <row r="4" ht="79.5" customHeight="1" s="70">
      <c r="A4" s="78" t="inlineStr">
        <is>
          <t xml:space="preserve">Échelles d'évaluation des risques associés aux parties prenantes PP exterieurs (prestataires/ partenaires) en fonction des 4 critères vue dans le cours.
Le premier tableau sert d'indication pour caractériser les différents niveaux de risques. 
Les deux tableaux suivants définissent des seuils precis utilisés pour les rendus de l'atelier 3.
</t>
        </is>
      </c>
      <c r="B4" s="79" t="n"/>
      <c r="C4" s="79" t="n"/>
      <c r="D4" s="79" t="n"/>
      <c r="E4" s="79" t="n"/>
    </row>
    <row r="6" ht="21.75" customHeight="1" s="70">
      <c r="A6" s="88" t="inlineStr">
        <is>
          <t>Échelles d'évaluation (4 niveaux par critère)</t>
        </is>
      </c>
    </row>
    <row r="7" ht="24" customHeight="1" s="70">
      <c r="A7" s="39" t="n"/>
      <c r="B7" s="95" t="inlineStr">
        <is>
          <t>EXPOSITION (taille de la bulle sur le radar)</t>
        </is>
      </c>
      <c r="C7" s="79" t="n"/>
      <c r="D7" s="95" t="inlineStr">
        <is>
          <t>FIABILITÉ CYBER (couleur de la bulle sur le radar)</t>
        </is>
      </c>
      <c r="E7" s="79" t="n"/>
    </row>
    <row r="8" ht="27.75" customHeight="1" s="70">
      <c r="A8" s="1" t="inlineStr">
        <is>
          <t>Niveau</t>
        </is>
      </c>
      <c r="B8" s="1" t="inlineStr">
        <is>
          <t>Dépendance</t>
        </is>
      </c>
      <c r="C8" s="1" t="inlineStr">
        <is>
          <t>Pénétration</t>
        </is>
      </c>
      <c r="D8" s="1" t="inlineStr">
        <is>
          <t>Maturité cyber</t>
        </is>
      </c>
      <c r="E8" s="1" t="inlineStr">
        <is>
          <t>Confiance</t>
        </is>
      </c>
    </row>
    <row r="9" ht="87.75" customHeight="1" s="70">
      <c r="A9" s="3" t="n">
        <v>1</v>
      </c>
      <c r="B9" s="5" t="inlineStr">
        <is>
          <t>Pas de lien avec le SI de la partie prenante pour réaliser la mission.</t>
        </is>
      </c>
      <c r="C9" s="5" t="inlineStr">
        <is>
          <t>Pas d'accès ou accès avec des privilèges de type utilisateur à des terminaux utilisateurs (poste de travail, ordiphone, etc.).</t>
        </is>
      </c>
      <c r="D9" s="5" t="inlineStr">
        <is>
          <t>Des règles d'hygiène sont appliquées ponctuellement et non formalisées. La capacité de réaction sur incident est incertaine.</t>
        </is>
      </c>
      <c r="E9" s="5" t="inlineStr">
        <is>
          <t>Les intentions de la partie prenante ne sont pas connues.</t>
        </is>
      </c>
    </row>
    <row r="10" ht="87.75" customHeight="1" s="70">
      <c r="A10" s="7" t="n">
        <v>2</v>
      </c>
      <c r="B10" s="8" t="inlineStr">
        <is>
          <t>Lien avec le SI de la partie prenante utile à la réalisation de la mission.</t>
        </is>
      </c>
      <c r="C10" s="8" t="inlineStr">
        <is>
          <t>Accès avec privilèges de type administrateur à des terminaux utilisateurs (parc informatique, flotte de terminaux mobiles, etc.) ou accès physique aux bureaux de l'organisme.</t>
        </is>
      </c>
      <c r="D10" s="8" t="inlineStr">
        <is>
          <t>Les règles d'hygiène et la réglementation sont prises en compte, sans intégration dans une politique globale. La sécurité numérique est assurée selon un mode réactif.</t>
        </is>
      </c>
      <c r="E10" s="8" t="inlineStr">
        <is>
          <t>Les intentions de la partie prenante sont considérées comme neutres.</t>
        </is>
      </c>
    </row>
    <row r="11" ht="87.75" customHeight="1" s="70">
      <c r="A11" s="3" t="n">
        <v>3</v>
      </c>
      <c r="B11" s="5" t="inlineStr">
        <is>
          <t>Lien avec le SI de la partie prenante indispensable mais non exclusif (possible substitution).</t>
        </is>
      </c>
      <c r="C11" s="5" t="inlineStr">
        <is>
          <t>Accès avec privilèges de type administrateur à des serveurs « métier » (serveur de fichiers, bases de données, serveur web, serveur d'application, etc.).</t>
        </is>
      </c>
      <c r="D11" s="5" t="inlineStr">
        <is>
          <t>Une politique globale est appliquée en matière de sécurité numérique. Celle-ci est assurée selon un mode réactif, avec une recherche de centralisation et d'anticipation sur certains risques.</t>
        </is>
      </c>
      <c r="E11" s="5" t="inlineStr">
        <is>
          <t>Les intentions de la partie prenante sont connues et probablement positives.</t>
        </is>
      </c>
    </row>
    <row r="12" ht="87.75" customHeight="1" s="70">
      <c r="A12" s="7" t="n">
        <v>4</v>
      </c>
      <c r="B12" s="8" t="inlineStr">
        <is>
          <t>Lien avec le SI de la partie prenante indispensable et unique (pas de substitution possible).</t>
        </is>
      </c>
      <c r="C12" s="8" t="inlineStr">
        <is>
          <t>Accès avec privilèges de type administrateur à des équipements d'infrastructure (annuaires d'entreprise, DNS, DHCP, switchs, pare-feu, hyperviseurs, baies de stockage, etc.) ou accès physique aux salles serveurs de l'organisme.</t>
        </is>
      </c>
      <c r="D12" s="8" t="inlineStr">
        <is>
          <t>La partie prenante met en œuvre une politique de management du risque. La politique est intégrée et prend pleinement en compte une dimension proactive.</t>
        </is>
      </c>
      <c r="E12" s="8" t="inlineStr">
        <is>
          <t>Les intentions de la partie prenante sont parfaitement connues et pleinement compatibles avec celles de l'organisation étudiée.</t>
        </is>
      </c>
    </row>
    <row r="14" ht="21.75" customHeight="1" s="70">
      <c r="A14" s="88" t="inlineStr">
        <is>
          <t>Seuils des zones de dangerosité (issus du guide ANSSI p.47)</t>
        </is>
      </c>
    </row>
    <row r="15" ht="25.5" customHeight="1" s="70">
      <c r="A15" s="1" t="inlineStr">
        <is>
          <t>Zone</t>
        </is>
      </c>
      <c r="B15" s="1" t="inlineStr">
        <is>
          <t>Couleur</t>
        </is>
      </c>
      <c r="C15" s="1" t="inlineStr">
        <is>
          <t>Borne inférieure</t>
        </is>
      </c>
      <c r="D15" s="1" t="inlineStr">
        <is>
          <t>Borne supérieure</t>
        </is>
      </c>
      <c r="E15" s="1" t="inlineStr">
        <is>
          <t>Interprétation</t>
        </is>
      </c>
    </row>
    <row r="16" ht="36" customHeight="1" s="70">
      <c r="A16" s="25" t="inlineStr">
        <is>
          <t>Veille</t>
        </is>
      </c>
      <c r="B16" s="10" t="inlineStr">
        <is>
          <t>Vert</t>
        </is>
      </c>
      <c r="C16" s="10" t="inlineStr">
        <is>
          <t>0</t>
        </is>
      </c>
      <c r="D16" s="10" t="inlineStr">
        <is>
          <t>0,2</t>
        </is>
      </c>
      <c r="E16" s="5" t="inlineStr">
        <is>
          <t>Niveau de dangerosité acceptable, surveillance simple.</t>
        </is>
      </c>
    </row>
    <row r="17" ht="39.35" customHeight="1" s="70">
      <c r="A17" s="22" t="inlineStr">
        <is>
          <t>Contrôle</t>
        </is>
      </c>
      <c r="B17" s="10" t="inlineStr">
        <is>
          <t>Jaune / Orange</t>
        </is>
      </c>
      <c r="C17" s="10" t="inlineStr">
        <is>
          <t>0,2</t>
        </is>
      </c>
      <c r="D17" s="10" t="inlineStr">
        <is>
          <t>2,5</t>
        </is>
      </c>
      <c r="E17" s="5" t="inlineStr">
        <is>
          <t>Niveau de dangerosité modéré, mesures de contrôle à maintenir et renforcer si nécessaire.</t>
        </is>
      </c>
    </row>
    <row r="18" ht="41.35" customHeight="1" s="70">
      <c r="A18" s="16" t="inlineStr">
        <is>
          <t>Danger</t>
        </is>
      </c>
      <c r="B18" s="10" t="inlineStr">
        <is>
          <t>Rouge</t>
        </is>
      </c>
      <c r="C18" s="10" t="inlineStr">
        <is>
          <t>2,5</t>
        </is>
      </c>
      <c r="D18" s="10" t="inlineStr">
        <is>
          <t>16 (max)</t>
        </is>
      </c>
      <c r="E18" s="5" t="inlineStr">
        <is>
          <t>Partie prenante critique (PPC) : intégration prioritaire aux scénarios stratégiques et mesures de réduction.</t>
        </is>
      </c>
    </row>
    <row r="20" ht="21.75" customHeight="1" s="70">
      <c r="A20" s="88" t="inlineStr">
        <is>
          <t>Paliers d'agrégation (taille et couleur des bulles sur le radar)</t>
        </is>
      </c>
    </row>
    <row r="21" ht="24" customHeight="1" s="70">
      <c r="A21" s="1" t="inlineStr">
        <is>
          <t>Critère</t>
        </is>
      </c>
      <c r="B21" s="1" t="inlineStr">
        <is>
          <t>Palier 1</t>
        </is>
      </c>
      <c r="C21" s="1" t="inlineStr">
        <is>
          <t>Palier 2</t>
        </is>
      </c>
      <c r="D21" s="1" t="inlineStr">
        <is>
          <t>Palier 3</t>
        </is>
      </c>
      <c r="E21" s="1" t="inlineStr">
        <is>
          <t>Palier 4</t>
        </is>
      </c>
    </row>
    <row r="22" ht="35.7" customHeight="1" s="70">
      <c r="A22" s="3" t="inlineStr">
        <is>
          <t>EXPOSITION (D × P)</t>
        </is>
      </c>
      <c r="B22" s="10" t="inlineStr">
        <is>
          <t>&lt; 3</t>
        </is>
      </c>
      <c r="C22" s="10" t="inlineStr">
        <is>
          <t>3 à 6</t>
        </is>
      </c>
      <c r="D22" s="10" t="inlineStr">
        <is>
          <t>7 à 9</t>
        </is>
      </c>
      <c r="E22" s="10" t="inlineStr">
        <is>
          <t>&gt; 9</t>
        </is>
      </c>
    </row>
    <row r="23" ht="34.7" customHeight="1" s="70">
      <c r="A23" s="7" t="inlineStr">
        <is>
          <t>FIABILITÉ CYBER (M × C)</t>
        </is>
      </c>
      <c r="B23" s="11" t="inlineStr">
        <is>
          <t>&lt; 4</t>
        </is>
      </c>
      <c r="C23" s="11" t="inlineStr">
        <is>
          <t>4 à 5</t>
        </is>
      </c>
      <c r="D23" s="11" t="inlineStr">
        <is>
          <t>6 à 7</t>
        </is>
      </c>
      <c r="E23" s="11" t="inlineStr">
        <is>
          <t>&gt; 7</t>
        </is>
      </c>
    </row>
  </sheetData>
  <mergeCells count="7">
    <mergeCell ref="A4:E4"/>
    <mergeCell ref="A20:E20"/>
    <mergeCell ref="D7:E7"/>
    <mergeCell ref="B7:C7"/>
    <mergeCell ref="A1:E2"/>
    <mergeCell ref="A14:E14"/>
    <mergeCell ref="A6:E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4"/>
  <sheetViews>
    <sheetView showGridLines="0" zoomScaleNormal="100" workbookViewId="0">
      <pane ySplit="7" topLeftCell="A25" activePane="bottomLeft" state="frozen"/>
      <selection pane="bottomLeft" activeCell="D10" sqref="D10"/>
    </sheetView>
  </sheetViews>
  <sheetFormatPr baseColWidth="10" defaultColWidth="8.703125" defaultRowHeight="14.35"/>
  <cols>
    <col width="8" customWidth="1" style="70" min="1" max="1"/>
    <col width="14" customWidth="1" style="70" min="2" max="2"/>
    <col width="32" customWidth="1" style="70" min="3" max="3"/>
    <col width="50" customWidth="1" style="70" min="4" max="4"/>
    <col width="30" customWidth="1" style="70" min="5" max="5"/>
  </cols>
  <sheetData>
    <row r="1" ht="25.5" customHeight="1" s="70">
      <c r="A1" s="76" t="inlineStr">
        <is>
          <t>A3.1 - Parties prenantes de l'écosystème d'UniCampus+</t>
        </is>
      </c>
    </row>
    <row r="2" ht="25.5" customHeight="1" s="70"/>
    <row r="4" ht="84" customHeight="1" s="70">
      <c r="A4" s="78" t="inlineStr">
        <is>
          <t xml:space="preserve">Rendu de l'atelier 3 : Liste des parties prenantes (PP) externes identifiées dans l'écosystème d'UniCampus+. </t>
        </is>
      </c>
      <c r="B4" s="79" t="n"/>
      <c r="C4" s="79" t="n"/>
      <c r="D4" s="79" t="n"/>
      <c r="E4" s="79" t="n"/>
    </row>
    <row r="6" ht="21.75" customHeight="1" s="70">
      <c r="A6" s="88" t="inlineStr">
        <is>
          <t>Typologie des parties prenantes de l'écosystème</t>
        </is>
      </c>
    </row>
    <row r="7" ht="31.5" customHeight="1" s="70">
      <c r="A7" s="1" t="inlineStr">
        <is>
          <t>Code PP</t>
        </is>
      </c>
      <c r="B7" s="1" t="inlineStr">
        <is>
          <t>Catégorie</t>
        </is>
      </c>
      <c r="C7" s="1" t="inlineStr">
        <is>
          <t>Libellé</t>
        </is>
      </c>
      <c r="D7" s="1" t="inlineStr">
        <is>
          <t>Description et nature de la relation</t>
        </is>
      </c>
      <c r="E7" s="1" t="inlineStr">
        <is>
          <t>Interaction avec UniCampus+</t>
        </is>
      </c>
    </row>
    <row r="8" ht="87.75" customHeight="1" s="70">
      <c r="A8" s="3" t="inlineStr">
        <is>
          <t>PA1</t>
        </is>
      </c>
      <c r="B8" s="10" t="inlineStr">
        <is>
          <t>Partenaire</t>
        </is>
      </c>
      <c r="C8" s="34" t="inlineStr">
        <is>
          <t>Laboratoires de recherche partenaires</t>
        </is>
      </c>
      <c r="D8" s="5" t="inlineStr">
        <is>
          <t>Autres établissements de recherche (universités, EPIC, EPST) avec lesquels les laboratoires d'UniCampus+ co-publient, partagent des données scientifiques et conduisent des projets communs (ANR, projets européens).</t>
        </is>
      </c>
      <c r="E8" s="5" t="inlineStr">
        <is>
          <t>Partage de données de recherche (NFS / Samba), comptes invités, conventions de collaboration.</t>
        </is>
      </c>
    </row>
    <row r="9" ht="87.75" customHeight="1" s="70">
      <c r="A9" s="7" t="inlineStr">
        <is>
          <t>PA2</t>
        </is>
      </c>
      <c r="B9" s="11" t="inlineStr">
        <is>
          <t>Partenaire</t>
        </is>
      </c>
      <c r="C9" s="35" t="inlineStr">
        <is>
          <t>Partenaires industriels et financeurs</t>
        </is>
      </c>
      <c r="D9" s="8" t="inlineStr">
        <is>
          <t>Entreprises co-finançant des projets de recherche bilatéraux, chaires industrielles, contrats CIFRE. Peuvent recevoir des livrables de recherche et fournir des données ou des moyens.</t>
        </is>
      </c>
      <c r="E9" s="8" t="inlineStr">
        <is>
          <t>Échanges de livrables, accès ponctuel aux résultats intermédiaires, contrats de propriété intellectuelle.</t>
        </is>
      </c>
    </row>
    <row r="10" ht="87.75" customHeight="1" s="70">
      <c r="A10" s="3" t="inlineStr">
        <is>
          <t>PA3</t>
        </is>
      </c>
      <c r="B10" s="10" t="inlineStr">
        <is>
          <t>Partenaire</t>
        </is>
      </c>
      <c r="C10" s="34" t="inlineStr">
        <is>
          <t>Ministère de l'Enseignement Supérieur (tutelle)</t>
        </is>
      </c>
      <c r="D10" s="5" t="inlineStr">
        <is>
          <t>Autorité de tutelle administrative et financière. Reçoit du reporting et opère des contrôles. Pas d'interconnexion SI directe mais transmission régulière de données institutionnelles.</t>
        </is>
      </c>
      <c r="E10" s="5" t="inlineStr">
        <is>
          <t>Reporting périodique, transmission de données agrégées (effectifs, indicateurs).</t>
        </is>
      </c>
    </row>
    <row r="11" ht="87.75" customHeight="1" s="70">
      <c r="A11" s="7" t="inlineStr">
        <is>
          <t>PA4</t>
        </is>
      </c>
      <c r="B11" s="11" t="inlineStr">
        <is>
          <t>Partenaire</t>
        </is>
      </c>
      <c r="C11" s="35" t="inlineStr">
        <is>
          <t>CNIL (régulateur RGPD)</t>
        </is>
      </c>
      <c r="D11" s="8" t="inlineStr">
        <is>
          <t>Autorité administrative indépendante de contrôle des données personnelles. Interaction réglementaire (notifications d'incidents, contrôles éventuels).</t>
        </is>
      </c>
      <c r="E11" s="8" t="inlineStr">
        <is>
          <t>Notifications d'incident sous 72 h, contrôles ponctuels, recommandations.</t>
        </is>
      </c>
    </row>
    <row r="12" ht="87.75" customHeight="1" s="70">
      <c r="A12" s="3" t="inlineStr">
        <is>
          <t>PR1</t>
        </is>
      </c>
      <c r="B12" s="10" t="inlineStr">
        <is>
          <t>Prestataire</t>
        </is>
      </c>
      <c r="C12" s="34" t="inlineStr">
        <is>
          <t>Éditeurs et mainteneurs logiciels</t>
        </is>
      </c>
      <c r="D12" s="5" t="inlineStr">
        <is>
          <t>Éditeurs des logiciels métier du SI : Moodle, application RH, OpenLDAP, Postfix/Dovecot. Fournissent les correctifs de sécurité et le support. Pas d'accès distant direct dans la maquette v1, mais peuvent intervenir en télémaintenance ponctuelle.</t>
        </is>
      </c>
      <c r="E12" s="5" t="inlineStr">
        <is>
          <t>Mises à jour, correctifs, support de niveau 2-3, télémaintenance occasionnelle.</t>
        </is>
      </c>
    </row>
    <row r="13" ht="87.75" customHeight="1" s="70">
      <c r="A13" s="7" t="inlineStr">
        <is>
          <t>PR2</t>
        </is>
      </c>
      <c r="B13" s="11" t="inlineStr">
        <is>
          <t>Prestataire</t>
        </is>
      </c>
      <c r="C13" s="35" t="inlineStr">
        <is>
          <t>RENATER (opérateur réseau de l'ESR)</t>
        </is>
      </c>
      <c r="D13" s="8" t="inlineStr">
        <is>
          <t>Opérateur du réseau national de l'enseignement supérieur et de la recherche français, assurant le raccordement Internet d'UniCampus+ et la fédération d'identités (Renater Identity Federation).</t>
        </is>
      </c>
      <c r="E13" s="8" t="inlineStr">
        <is>
          <t>Raccordement Internet, transit, services mutualisés (DNS, fédération d'identité).</t>
        </is>
      </c>
    </row>
    <row r="14" ht="87.75" customHeight="1" s="70">
      <c r="A14" s="3" t="inlineStr">
        <is>
          <t>PR3</t>
        </is>
      </c>
      <c r="B14" s="10" t="inlineStr">
        <is>
          <t>Prestataire</t>
        </is>
      </c>
      <c r="C14" s="34" t="inlineStr">
        <is>
          <t>Fournisseurs de bibliothèque numérique</t>
        </is>
      </c>
      <c r="D14" s="5" t="inlineStr">
        <is>
          <t>Fournisseurs externes de ressources documentaires accédées via la VM1.5 non instrumentée (Couperin, Cairn, EBSCO, ScienceDirect, etc.). Accès SSO/IP-based, hébergement chez le fournisseur.</t>
        </is>
      </c>
      <c r="E14" s="5" t="inlineStr">
        <is>
          <t>Accès aux ressources via IP filtering ou proxy d'authentification, transmission des historiques de consultation.</t>
        </is>
      </c>
    </row>
  </sheetData>
  <mergeCells count="3">
    <mergeCell ref="A6:E6"/>
    <mergeCell ref="A4:E4"/>
    <mergeCell ref="A1:E2"/>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K19"/>
  <sheetViews>
    <sheetView showGridLines="0" zoomScaleNormal="100" workbookViewId="0">
      <pane ySplit="7" topLeftCell="A9" activePane="bottomLeft" state="frozen"/>
      <selection pane="bottomLeft" activeCell="A17" sqref="A17:K17"/>
    </sheetView>
  </sheetViews>
  <sheetFormatPr baseColWidth="10" defaultColWidth="8.703125" defaultRowHeight="14.35"/>
  <cols>
    <col width="8" customWidth="1" style="70" min="1" max="1"/>
    <col width="26" customWidth="1" style="70" min="2" max="2"/>
    <col width="11" customWidth="1" style="70" min="3" max="4"/>
    <col width="12" customWidth="1" style="70" min="5" max="5"/>
    <col width="11" customWidth="1" style="70" min="6" max="6"/>
    <col width="13" customWidth="1" style="70" min="7" max="8"/>
    <col width="14" customWidth="1" style="70" min="9" max="9"/>
    <col width="12" customWidth="1" style="70" min="10" max="10"/>
    <col width="14" customWidth="1" style="70" min="11" max="11"/>
  </cols>
  <sheetData>
    <row r="1" ht="25.5" customHeight="1" s="70">
      <c r="A1" s="76" t="inlineStr">
        <is>
          <t>A3.2 - Cartographie de dangerosité de l'écosystème</t>
        </is>
      </c>
    </row>
    <row r="2" ht="25.5" customHeight="1" s="70"/>
    <row r="4" ht="84" customHeight="1" s="70">
      <c r="A4" s="78" t="inlineStr">
        <is>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is>
      </c>
      <c r="B4" s="79" t="n"/>
      <c r="C4" s="79" t="n"/>
      <c r="D4" s="79" t="n"/>
      <c r="E4" s="79" t="n"/>
      <c r="F4" s="79" t="n"/>
      <c r="G4" s="79" t="n"/>
      <c r="H4" s="79" t="n"/>
      <c r="I4" s="79" t="n"/>
      <c r="J4" s="79" t="n"/>
      <c r="K4" s="79" t="n"/>
    </row>
    <row r="6" ht="21.75" customHeight="1" s="70">
      <c r="A6" s="88" t="inlineStr">
        <is>
          <t>Évaluation de la dangerosité des parties prenantes</t>
        </is>
      </c>
    </row>
    <row r="7" ht="43.5" customHeight="1" s="70">
      <c r="A7" s="1" t="inlineStr">
        <is>
          <t>Code PP</t>
        </is>
      </c>
      <c r="B7" s="1" t="inlineStr">
        <is>
          <t>Libellé</t>
        </is>
      </c>
      <c r="C7" s="1" t="inlineStr">
        <is>
          <t>Dépendance (D)</t>
        </is>
      </c>
      <c r="D7" s="1" t="inlineStr">
        <is>
          <t>Pénétration (P)</t>
        </is>
      </c>
      <c r="E7" s="1" t="inlineStr">
        <is>
          <t>Exposition (D×P)</t>
        </is>
      </c>
      <c r="F7" s="1" t="inlineStr">
        <is>
          <t>Maturité (M)</t>
        </is>
      </c>
      <c r="G7" s="1" t="inlineStr">
        <is>
          <t>Confiance (C)</t>
        </is>
      </c>
      <c r="H7" s="1" t="inlineStr">
        <is>
          <t>Fiabilité (M×C)</t>
        </is>
      </c>
      <c r="I7" s="1" t="inlineStr">
        <is>
          <t>Dangerosité ((D×P)/(M×C))</t>
        </is>
      </c>
      <c r="J7" s="1" t="inlineStr">
        <is>
          <t>Zone</t>
        </is>
      </c>
      <c r="K7" s="1" t="inlineStr">
        <is>
          <t>PPC ?</t>
        </is>
      </c>
    </row>
    <row r="8" ht="31.5" customHeight="1" s="70">
      <c r="A8" s="3" t="inlineStr">
        <is>
          <t>PA1</t>
        </is>
      </c>
      <c r="B8" s="5" t="inlineStr">
        <is>
          <t>Laboratoires de recherche partenaires</t>
        </is>
      </c>
      <c r="C8" s="10" t="n">
        <v>3</v>
      </c>
      <c r="D8" s="10" t="n">
        <v>3</v>
      </c>
      <c r="E8" s="10">
        <f>C8*D8</f>
        <v/>
      </c>
      <c r="F8" s="10" t="n">
        <v>2</v>
      </c>
      <c r="G8" s="10" t="n">
        <v>3</v>
      </c>
      <c r="H8" s="10">
        <f>F8*G8</f>
        <v/>
      </c>
      <c r="I8" s="40">
        <f>IFERROR(E8/H8,"")</f>
        <v/>
      </c>
      <c r="J8" s="3">
        <f>IF(I8="","",IF(I8&lt;0.2,"Veille",IF(I8&lt;2.5,"Contrôle","Danger")))</f>
        <v/>
      </c>
      <c r="K8" s="3">
        <f>IF(J8="Danger","Oui","Non")</f>
        <v/>
      </c>
    </row>
    <row r="9" ht="31.5" customHeight="1" s="70">
      <c r="A9" s="7" t="inlineStr">
        <is>
          <t>PA2</t>
        </is>
      </c>
      <c r="B9" s="8" t="inlineStr">
        <is>
          <t>Partenaires industriels et financeurs</t>
        </is>
      </c>
      <c r="C9" s="11" t="n">
        <v>2</v>
      </c>
      <c r="D9" s="11" t="n">
        <v>2</v>
      </c>
      <c r="E9" s="11">
        <f>C9*D9</f>
        <v/>
      </c>
      <c r="F9" s="11" t="n">
        <v>3</v>
      </c>
      <c r="G9" s="11" t="n">
        <v>3</v>
      </c>
      <c r="H9" s="11">
        <f>F9*G9</f>
        <v/>
      </c>
      <c r="I9" s="41">
        <f>IFERROR(E9/H9,"")</f>
        <v/>
      </c>
      <c r="J9" s="3">
        <f>IF(I9="","",IF(I9&lt;0.2,"Veille",IF(I9&lt;2.5,"Contrôle","Danger")))</f>
        <v/>
      </c>
      <c r="K9" s="7">
        <f>IF(J9="Danger","Oui","Non")</f>
        <v/>
      </c>
    </row>
    <row r="10" ht="31.5" customHeight="1" s="70">
      <c r="A10" s="3" t="inlineStr">
        <is>
          <t>PA3</t>
        </is>
      </c>
      <c r="B10" s="5" t="inlineStr">
        <is>
          <t>Ministère de l'Enseignement Supérieur</t>
        </is>
      </c>
      <c r="C10" s="10" t="n">
        <v>3</v>
      </c>
      <c r="D10" s="10" t="n">
        <v>1</v>
      </c>
      <c r="E10" s="10">
        <f>C10*D10</f>
        <v/>
      </c>
      <c r="F10" s="10" t="n">
        <v>4</v>
      </c>
      <c r="G10" s="10" t="n">
        <v>4</v>
      </c>
      <c r="H10" s="10">
        <f>F10*G10</f>
        <v/>
      </c>
      <c r="I10" s="40">
        <f>IFERROR(E10/H10,"")</f>
        <v/>
      </c>
      <c r="J10" s="3">
        <f>IF(I10="","",IF(I10&lt;0.2,"Veille",IF(I10&lt;2.5,"Contrôle","Danger")))</f>
        <v/>
      </c>
      <c r="K10" s="3">
        <f>IF(J10="Danger","Oui","Non")</f>
        <v/>
      </c>
    </row>
    <row r="11" ht="31.5" customHeight="1" s="70">
      <c r="A11" s="7" t="inlineStr">
        <is>
          <t>PA4</t>
        </is>
      </c>
      <c r="B11" s="8" t="inlineStr">
        <is>
          <t>CNIL (régulateur RGPD)</t>
        </is>
      </c>
      <c r="C11" s="11" t="n">
        <v>1</v>
      </c>
      <c r="D11" s="11" t="n">
        <v>1</v>
      </c>
      <c r="E11" s="11">
        <f>C11*D11</f>
        <v/>
      </c>
      <c r="F11" s="11" t="n">
        <v>4</v>
      </c>
      <c r="G11" s="11" t="n">
        <v>4</v>
      </c>
      <c r="H11" s="11">
        <f>F11*G11</f>
        <v/>
      </c>
      <c r="I11" s="41">
        <f>IFERROR(E11/H11,"")</f>
        <v/>
      </c>
      <c r="J11" s="3">
        <f>IF(I11="","",IF(I11&lt;0.2,"Veille",IF(I11&lt;2.5,"Contrôle","Danger")))</f>
        <v/>
      </c>
      <c r="K11" s="7">
        <f>IF(J11="Danger","Oui","Non")</f>
        <v/>
      </c>
    </row>
    <row r="12" ht="31.5" customHeight="1" s="70">
      <c r="A12" s="3" t="inlineStr">
        <is>
          <t>PR1</t>
        </is>
      </c>
      <c r="B12" s="5" t="inlineStr">
        <is>
          <t>Éditeurs et mainteneurs logiciels</t>
        </is>
      </c>
      <c r="C12" s="10" t="n">
        <v>3</v>
      </c>
      <c r="D12" s="10" t="n">
        <v>3</v>
      </c>
      <c r="E12" s="10">
        <f>C12*D12</f>
        <v/>
      </c>
      <c r="F12" s="10" t="n">
        <v>2</v>
      </c>
      <c r="G12" s="10" t="n">
        <v>2</v>
      </c>
      <c r="H12" s="10">
        <f>F12*G12</f>
        <v/>
      </c>
      <c r="I12" s="40">
        <f>IFERROR(E12/H12,"")</f>
        <v/>
      </c>
      <c r="J12" s="3">
        <f>IF(I12="","",IF(I12&lt;0.2,"Veille",IF(I12&lt;2.5,"Contrôle","Danger")))</f>
        <v/>
      </c>
      <c r="K12" s="3">
        <f>IF(J12="Danger","Oui","Non")</f>
        <v/>
      </c>
    </row>
    <row r="13" ht="31.5" customHeight="1" s="70">
      <c r="A13" s="7" t="inlineStr">
        <is>
          <t>PR2</t>
        </is>
      </c>
      <c r="B13" s="8" t="inlineStr">
        <is>
          <t>RENATER (opérateur réseau ESR)</t>
        </is>
      </c>
      <c r="C13" s="11" t="n">
        <v>4</v>
      </c>
      <c r="D13" s="11" t="n">
        <v>2</v>
      </c>
      <c r="E13" s="11">
        <f>C13*D13</f>
        <v/>
      </c>
      <c r="F13" s="11" t="n">
        <v>4</v>
      </c>
      <c r="G13" s="11" t="n">
        <v>4</v>
      </c>
      <c r="H13" s="11">
        <f>F13*G13</f>
        <v/>
      </c>
      <c r="I13" s="41">
        <f>IFERROR(E13/H13,"")</f>
        <v/>
      </c>
      <c r="J13" s="3">
        <f>IF(I13="","",IF(I13&lt;0.2,"Veille",IF(I13&lt;2.5,"Contrôle","Danger")))</f>
        <v/>
      </c>
      <c r="K13" s="7">
        <f>IF(J13="Danger","Oui","Non")</f>
        <v/>
      </c>
    </row>
    <row r="14" ht="31.5" customHeight="1" s="70">
      <c r="A14" s="3" t="inlineStr">
        <is>
          <t>PR3</t>
        </is>
      </c>
      <c r="B14" s="5" t="inlineStr">
        <is>
          <t>Fournisseurs de bibliothèque numérique</t>
        </is>
      </c>
      <c r="C14" s="10" t="n">
        <v>2</v>
      </c>
      <c r="D14" s="10" t="n">
        <v>1</v>
      </c>
      <c r="E14" s="10">
        <f>C14*D14</f>
        <v/>
      </c>
      <c r="F14" s="10" t="n">
        <v>3</v>
      </c>
      <c r="G14" s="10" t="n">
        <v>3</v>
      </c>
      <c r="H14" s="10">
        <f>F14*G14</f>
        <v/>
      </c>
      <c r="I14" s="40">
        <f>IFERROR(E14/H14,"")</f>
        <v/>
      </c>
      <c r="J14" s="3">
        <f>IF(I14="","",IF(I14&lt;0.2,"Veille",IF(I14&lt;2.5,"Contrôle","Danger")))</f>
        <v/>
      </c>
      <c r="K14" s="3">
        <f>IF(J14="Danger","Oui","Non")</f>
        <v/>
      </c>
    </row>
    <row r="16" ht="21.75" customHeight="1" s="70">
      <c r="A16" s="88" t="inlineStr">
        <is>
          <t>Synthèse - Parties prenantes critiques (PPC)</t>
        </is>
      </c>
    </row>
    <row r="17" ht="71.34999999999999" customHeight="1" s="70">
      <c r="A17" s="78" t="inlineStr">
        <is>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
Au vue de cette analyse, aucune partie prenante n'est identifé comme critique. Cela peut se justifier par le fait que l'entité Unicampus, dans la modélisation que nous en avons faites est particulièrement autonome et dont les partenaires possède un niveau de confiance relativement élevé.</t>
        </is>
      </c>
      <c r="B17" s="79" t="n"/>
      <c r="C17" s="79" t="n"/>
      <c r="D17" s="79" t="n"/>
      <c r="E17" s="79" t="n"/>
      <c r="F17" s="79" t="n"/>
      <c r="G17" s="79" t="n"/>
      <c r="H17" s="79" t="n"/>
      <c r="I17" s="79" t="n"/>
      <c r="J17" s="79" t="n"/>
      <c r="K17" s="79" t="n"/>
    </row>
    <row r="19" ht="24" customHeight="1" s="70">
      <c r="A19" s="75" t="inlineStr">
        <is>
          <t>Visualisation radar de la cartographie (équivalent slide 37 du cours et p.47 du guide ANSSI)</t>
        </is>
      </c>
    </row>
    <row r="20" ht="18" customHeight="1" s="70"/>
    <row r="21" ht="18" customHeight="1" s="70"/>
    <row r="22" ht="18" customHeight="1" s="70"/>
    <row r="23" ht="18" customHeight="1" s="70"/>
    <row r="24" ht="18" customHeight="1" s="70"/>
    <row r="25" ht="18" customHeight="1" s="70"/>
    <row r="26" ht="18" customHeight="1" s="70"/>
    <row r="27" ht="18" customHeight="1" s="70"/>
    <row r="28" ht="18" customHeight="1" s="70"/>
    <row r="29" ht="18" customHeight="1" s="70"/>
    <row r="30" ht="18" customHeight="1" s="70"/>
    <row r="31" ht="18" customHeight="1" s="70"/>
    <row r="32" ht="18" customHeight="1" s="70"/>
    <row r="33" ht="18" customHeight="1" s="70"/>
    <row r="34" ht="18" customHeight="1" s="70"/>
    <row r="35" ht="18" customHeight="1" s="70"/>
    <row r="36" ht="18" customHeight="1" s="70"/>
    <row r="37" ht="18" customHeight="1" s="70"/>
    <row r="38" ht="18" customHeight="1" s="70"/>
    <row r="39" ht="18" customHeight="1" s="70"/>
    <row r="40" ht="18" customHeight="1" s="70"/>
    <row r="41" ht="18" customHeight="1" s="70"/>
    <row r="42" ht="18" customHeight="1" s="70"/>
    <row r="43" ht="18" customHeight="1" s="70"/>
    <row r="44" ht="18" customHeight="1" s="70"/>
    <row r="45" ht="18" customHeight="1" s="70"/>
    <row r="46" ht="18" customHeight="1" s="70"/>
    <row r="47" ht="18" customHeight="1" s="70"/>
    <row r="48" ht="18" customHeight="1" s="70"/>
    <row r="49" ht="18" customHeight="1" s="70"/>
    <row r="50" ht="18" customHeight="1" s="70"/>
    <row r="51" ht="18" customHeight="1" s="70"/>
    <row r="52" ht="18" customHeight="1" s="70"/>
    <row r="53" ht="18" customHeight="1" s="70"/>
    <row r="54" ht="18" customHeight="1" s="70"/>
    <row r="55" ht="18" customHeight="1" s="70"/>
    <row r="56" ht="18" customHeight="1" s="70"/>
    <row r="57" ht="18" customHeight="1" s="70"/>
    <row r="58" ht="18" customHeight="1" s="70"/>
    <row r="59" ht="18" customHeight="1" s="70"/>
    <row r="60" ht="18" customHeight="1" s="70"/>
    <row r="61" ht="18" customHeight="1" s="70"/>
    <row r="62" ht="18" customHeight="1" s="70"/>
    <row r="63" ht="18" customHeight="1" s="70"/>
    <row r="64" ht="18" customHeight="1" s="70"/>
    <row r="65" ht="18" customHeight="1" s="70"/>
    <row r="66" ht="18" customHeight="1" s="70"/>
  </sheetData>
  <mergeCells count="6">
    <mergeCell ref="A6:K6"/>
    <mergeCell ref="A4:K4"/>
    <mergeCell ref="A16:K16"/>
    <mergeCell ref="A19:K19"/>
    <mergeCell ref="A17:K17"/>
    <mergeCell ref="A1:K2"/>
  </mergeCells>
  <conditionalFormatting sqref="J8:J14">
    <cfRule type="cellIs" priority="2" operator="equal" dxfId="2">
      <formula>"Veille"</formula>
    </cfRule>
    <cfRule type="cellIs" priority="3" operator="equal" dxfId="1">
      <formula>"Contrôle"</formula>
    </cfRule>
    <cfRule type="cellIs" priority="4" operator="equal" dxfId="0">
      <formula>"Danger"</formula>
    </cfRule>
  </conditionalFormatting>
  <dataValidations count="1">
    <dataValidation sqref="C8:D14 F8:G14" showDropDown="0" showInputMessage="0" showErrorMessage="0" allowBlank="0" error="Saisir une valeur entre 1 et 4 (cf. échelle A3.0)." type="whole">
      <formula1>1</formula1>
      <formula2>4</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13"/>
  <sheetViews>
    <sheetView showGridLines="0" zoomScaleNormal="100" workbookViewId="0">
      <pane ySplit="7" topLeftCell="A11" activePane="bottomLeft" state="frozen"/>
      <selection pane="bottomLeft" activeCell="D17" sqref="D17"/>
    </sheetView>
  </sheetViews>
  <sheetFormatPr baseColWidth="10" defaultColWidth="8.703125" defaultRowHeight="14.35"/>
  <cols>
    <col width="9" customWidth="1" style="70" min="1" max="2"/>
    <col width="26" customWidth="1" style="70" min="3" max="3"/>
    <col width="38" customWidth="1" style="70" min="4" max="4"/>
    <col width="60" customWidth="1" style="70" min="5" max="5"/>
    <col width="12" customWidth="1" style="70" min="6" max="6"/>
    <col width="14" customWidth="1" style="70" min="7" max="7"/>
  </cols>
  <sheetData>
    <row r="1" ht="25.5" customHeight="1" s="70">
      <c r="A1" s="76" t="inlineStr">
        <is>
          <t>A3.3 - Scénarios stratégiques</t>
        </is>
      </c>
    </row>
    <row r="2" ht="25.5" customHeight="1" s="70"/>
    <row r="4" ht="87.75" customHeight="1" s="70">
      <c r="A4" s="78" t="inlineStr">
        <is>
          <t>Second rendu pour l'atelier 3 : 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is>
      </c>
      <c r="B4" s="79" t="n"/>
      <c r="C4" s="79" t="n"/>
      <c r="D4" s="79" t="n"/>
      <c r="E4" s="79" t="n"/>
      <c r="F4" s="79" t="n"/>
      <c r="G4" s="79" t="n"/>
    </row>
    <row r="6" ht="21.75" customHeight="1" s="70">
      <c r="A6" s="88" t="inlineStr">
        <is>
          <t>Scénarios stratégiques retenus (un par couple SR/OV)</t>
        </is>
      </c>
    </row>
    <row r="7" ht="31.5" customHeight="1" s="70">
      <c r="A7" s="1" t="inlineStr">
        <is>
          <t>Code scénario</t>
        </is>
      </c>
      <c r="B7" s="1" t="inlineStr">
        <is>
          <t>Code SR/OV</t>
        </is>
      </c>
      <c r="C7" s="1" t="inlineStr">
        <is>
          <t>Source de risque</t>
        </is>
      </c>
      <c r="D7" s="1" t="inlineStr">
        <is>
          <t>Objectif visé</t>
        </is>
      </c>
      <c r="E7" s="1" t="inlineStr">
        <is>
          <t>Chemins d'attaque stratégiques</t>
        </is>
      </c>
      <c r="F7" s="1" t="inlineStr">
        <is>
          <t>Gravité</t>
        </is>
      </c>
      <c r="G7" s="1" t="inlineStr">
        <is>
          <t>ER associé(s)</t>
        </is>
      </c>
    </row>
    <row r="8" ht="129.75" customHeight="1" s="70">
      <c r="A8" s="3" t="inlineStr">
        <is>
          <t>SS1</t>
        </is>
      </c>
      <c r="B8" s="3" t="inlineStr">
        <is>
          <t>C01</t>
        </is>
      </c>
      <c r="C8" s="5" t="inlineStr">
        <is>
          <t>SR-A Étudiant malveillant</t>
        </is>
      </c>
      <c r="D8" s="5" t="inlineStr">
        <is>
          <t>Compromettre les résultats académiques (modifier notes, voler sujets d'examen)</t>
        </is>
      </c>
      <c r="E8" s="5" t="inlineStr">
        <is>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is>
      </c>
      <c r="F8" s="19" t="inlineStr">
        <is>
          <t>G3</t>
        </is>
      </c>
      <c r="G8" s="3" t="inlineStr">
        <is>
          <t>ER03</t>
        </is>
      </c>
    </row>
    <row r="9" ht="129.75" customHeight="1" s="70">
      <c r="A9" s="7" t="inlineStr">
        <is>
          <t>SS2</t>
        </is>
      </c>
      <c r="B9" s="7" t="inlineStr">
        <is>
          <t>C03</t>
        </is>
      </c>
      <c r="C9" s="8" t="inlineStr">
        <is>
          <t>SR-B Cybercriminel organisé</t>
        </is>
      </c>
      <c r="D9" s="8" t="inlineStr">
        <is>
          <t>Extorquer une rançon par chiffrement de l'infrastructure</t>
        </is>
      </c>
      <c r="E9" s="8" t="inlineStr">
        <is>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is>
      </c>
      <c r="F9" s="16" t="inlineStr">
        <is>
          <t>G4</t>
        </is>
      </c>
      <c r="G9" s="7" t="inlineStr">
        <is>
          <t>ER06, ER04</t>
        </is>
      </c>
    </row>
    <row r="10" ht="129.75" customHeight="1" s="70">
      <c r="A10" s="3" t="inlineStr">
        <is>
          <t>SS3</t>
        </is>
      </c>
      <c r="B10" s="3" t="inlineStr">
        <is>
          <t>C04</t>
        </is>
      </c>
      <c r="C10" s="5" t="inlineStr">
        <is>
          <t>SR-B Cybercriminel organisé</t>
        </is>
      </c>
      <c r="D10" s="5" t="inlineStr">
        <is>
          <t>Revendre des données personnelles des étudiants et personnels</t>
        </is>
      </c>
      <c r="E10" s="5" t="inlineStr">
        <is>
          <t>Un cybercriminel exfiltre la base de données personnelles pour revente :
1. par exploitation directe d'une vulnérabilité applicative ou d'un bind LDAP anonyme depuis Internet ;
2. par rebond via un éditeur logiciel compromis (PR1) ayant accès en télémaintenance.</t>
        </is>
      </c>
      <c r="F10" s="16" t="inlineStr">
        <is>
          <t>G4</t>
        </is>
      </c>
      <c r="G10" s="3" t="inlineStr">
        <is>
          <t>ER01</t>
        </is>
      </c>
    </row>
    <row r="11" ht="129.75" customHeight="1" s="70">
      <c r="A11" s="7" t="inlineStr">
        <is>
          <t>SS4</t>
        </is>
      </c>
      <c r="B11" s="7" t="inlineStr">
        <is>
          <t>C05</t>
        </is>
      </c>
      <c r="C11" s="8" t="inlineStr">
        <is>
          <t>SR-C Acteur étatique / concurrent</t>
        </is>
      </c>
      <c r="D11" s="8" t="inlineStr">
        <is>
          <t>Exfiltrer le patrimoine scientifique stratégique</t>
        </is>
      </c>
      <c r="E11" s="8" t="inlineStr">
        <is>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is>
      </c>
      <c r="F11" s="19" t="inlineStr">
        <is>
          <t>G3</t>
        </is>
      </c>
      <c r="G11" s="7" t="inlineStr">
        <is>
          <t>ER02</t>
        </is>
      </c>
    </row>
    <row r="12" ht="129.75" customHeight="1" s="70">
      <c r="A12" s="3" t="inlineStr">
        <is>
          <t>SS5</t>
        </is>
      </c>
      <c r="B12" s="3" t="inlineStr">
        <is>
          <t>CR08</t>
        </is>
      </c>
      <c r="C12" s="5" t="inlineStr">
        <is>
          <t>SR-E Personnel mécontent ou ex-personnel</t>
        </is>
      </c>
      <c r="D12" s="5" t="inlineStr">
        <is>
          <t>Détourner la paie ou frauder le système de gestion RH</t>
        </is>
      </c>
      <c r="E12" s="5" t="inlineStr">
        <is>
          <t>Un personnel mécontent fraude le système RH :
1. depuis le réseau interne, en utilisant un compte légitime non révoqué pour modifier les éléments de paie ou les RIB de versement ;
2. par exploitation d'une vulnérabilité applicative de l'application RH.</t>
        </is>
      </c>
      <c r="F12" s="19" t="inlineStr">
        <is>
          <t>G3</t>
        </is>
      </c>
      <c r="G12" s="3" t="inlineStr">
        <is>
          <t>ER05</t>
        </is>
      </c>
    </row>
    <row r="13" ht="129.75" customHeight="1" s="70">
      <c r="A13" s="7" t="inlineStr">
        <is>
          <t>SS6</t>
        </is>
      </c>
      <c r="B13" s="7" t="inlineStr">
        <is>
          <t>CR09</t>
        </is>
      </c>
      <c r="C13" s="8" t="inlineStr">
        <is>
          <t>SR-E Personnel mécontent ou ex-personnel</t>
        </is>
      </c>
      <c r="D13" s="8" t="inlineStr">
        <is>
          <t>Détruire ou altérer des données par vengeance</t>
        </is>
      </c>
      <c r="E13" s="8" t="inlineStr">
        <is>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is>
      </c>
      <c r="F13" s="19" t="inlineStr">
        <is>
          <t>G3</t>
        </is>
      </c>
      <c r="G13" s="7" t="inlineStr">
        <is>
          <t>ER05, ER09</t>
        </is>
      </c>
    </row>
  </sheetData>
  <mergeCells count="3">
    <mergeCell ref="A6:G6"/>
    <mergeCell ref="A1:G2"/>
    <mergeCell ref="A4:G4"/>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4"/>
  <sheetViews>
    <sheetView showGridLines="0" zoomScale="70" zoomScaleNormal="70" workbookViewId="0">
      <pane ySplit="7" topLeftCell="A10" activePane="bottomLeft" state="frozen"/>
      <selection pane="bottomLeft" activeCell="D8" sqref="D8"/>
    </sheetView>
  </sheetViews>
  <sheetFormatPr baseColWidth="10" defaultColWidth="8.703125" defaultRowHeight="14.35"/>
  <cols>
    <col width="9" customWidth="1" style="70" min="1" max="1"/>
    <col width="24" customWidth="1" style="70" min="2" max="2"/>
    <col width="40" customWidth="1" style="70" min="3" max="3"/>
    <col width="70" customWidth="1" style="70" min="4" max="4"/>
    <col width="14" customWidth="1" style="70" min="5" max="5"/>
    <col width="16" customWidth="1" style="70" min="6" max="6"/>
  </cols>
  <sheetData>
    <row r="1" ht="25.5" customHeight="1" s="70">
      <c r="A1" s="76" t="inlineStr">
        <is>
          <t>A3.4 - Mesures de sécurité sur l'écosystème</t>
        </is>
      </c>
    </row>
    <row r="2" ht="25.5" customHeight="1" s="70"/>
    <row r="4" ht="109.5" customHeight="1" s="70">
      <c r="A4" s="78" t="inlineStr">
        <is>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is>
      </c>
      <c r="B4" s="79" t="n"/>
      <c r="C4" s="79" t="n"/>
      <c r="D4" s="79" t="n"/>
      <c r="E4" s="79" t="n"/>
      <c r="F4" s="79" t="n"/>
    </row>
    <row r="6" ht="21.75" customHeight="1" s="70">
      <c r="A6" s="88" t="inlineStr">
        <is>
          <t>Mesures de sécurité pour les parties prenantes critiques</t>
        </is>
      </c>
    </row>
    <row r="7" ht="36" customHeight="1" s="70">
      <c r="A7" s="1" t="inlineStr">
        <is>
          <t>Code PP</t>
        </is>
      </c>
      <c r="B7" s="1" t="inlineStr">
        <is>
          <t>Partie prenante</t>
        </is>
      </c>
      <c r="C7" s="1" t="inlineStr">
        <is>
          <t>Chemins d'attaque stratégiques</t>
        </is>
      </c>
      <c r="D7" s="1" t="inlineStr">
        <is>
          <t>Mesures de sécurité</t>
        </is>
      </c>
      <c r="E7" s="1" t="inlineStr">
        <is>
          <t>Dangerosité initiale</t>
        </is>
      </c>
      <c r="F7" s="1" t="inlineStr">
        <is>
          <t>Dangerosité résiduelle</t>
        </is>
      </c>
    </row>
    <row r="8" ht="159.75" customHeight="1" s="70">
      <c r="A8" s="3" t="inlineStr">
        <is>
          <t>PR1</t>
        </is>
      </c>
      <c r="B8" s="5" t="inlineStr">
        <is>
          <t>Éditeurs et mainteneurs logiciels</t>
        </is>
      </c>
      <c r="C8" s="5" t="inlineStr">
        <is>
          <t>Déploiement de rançongiciel par supply-chain (SS2 chemin 2) ; exfiltration de données via télémaintenance (SS3 chemin 2)</t>
        </is>
      </c>
      <c r="D8" s="5" t="inlineStr">
        <is>
          <t xml:space="preserve">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t>
        </is>
      </c>
      <c r="E8" s="42" t="n">
        <v>2.25</v>
      </c>
      <c r="F8" s="42" t="n">
        <v>1</v>
      </c>
    </row>
    <row r="9" ht="159.75" customHeight="1" s="70">
      <c r="A9" s="7" t="inlineStr">
        <is>
          <t>PA1</t>
        </is>
      </c>
      <c r="B9" s="8" t="inlineStr">
        <is>
          <t>Laboratoires de recherche partenaires</t>
        </is>
      </c>
      <c r="C9" s="8" t="inlineStr">
        <is>
          <t>Exfiltration du patrimoine scientifique par rebond (SS4 chemin 2) ; destruction collatérale par personnel mécontent (SS6 chemin 2)</t>
        </is>
      </c>
      <c r="D9" s="8" t="inlineStr">
        <is>
          <t>Diminuer la pénétration des laboratoires partenaires et accroître leur maturité cyber :
• limiter strictement le partage de données au juste besoin (principe du moindre privilège)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is>
      </c>
      <c r="E9" s="42" t="n">
        <v>1.5</v>
      </c>
      <c r="F9" s="42" t="n">
        <v>1</v>
      </c>
    </row>
    <row r="10" ht="159.75" customHeight="1" s="70">
      <c r="A10" s="3" t="inlineStr">
        <is>
          <t>PA2</t>
        </is>
      </c>
      <c r="B10" s="5" t="inlineStr">
        <is>
          <t>Partenaires industriels et financeurs</t>
        </is>
      </c>
      <c r="C10" s="5" t="inlineStr">
        <is>
          <t>Exfiltration du patrimoine scientifique par rebond (SS4 chemin 3)</t>
        </is>
      </c>
      <c r="D10" s="5" t="inlineStr">
        <is>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is>
      </c>
      <c r="E10" s="42" t="n">
        <v>0.44</v>
      </c>
      <c r="F10" s="42" t="n">
        <v>0.33</v>
      </c>
    </row>
    <row r="11" ht="159.75" customHeight="1" s="70">
      <c r="A11" s="7" t="inlineStr">
        <is>
          <t>PR3</t>
        </is>
      </c>
      <c r="B11" s="8" t="inlineStr">
        <is>
          <t>Fournisseurs de bibliothèque numérique</t>
        </is>
      </c>
      <c r="C11" s="8" t="inlineStr">
        <is>
          <t>Hors scénarios principaux ; vigilance générale (VM1.5 non instrumentée)</t>
        </is>
      </c>
      <c r="D11" s="8" t="inlineStr">
        <is>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is>
      </c>
      <c r="E11" s="42" t="n">
        <v>0.22</v>
      </c>
      <c r="F11" s="42" t="n">
        <v>0.22</v>
      </c>
    </row>
    <row r="13" ht="21.75" customHeight="1" s="70">
      <c r="A13" s="88" t="inlineStr">
        <is>
          <t>Synthèse de l'effet des mesures sur l'écosystème</t>
        </is>
      </c>
    </row>
    <row r="14" ht="69.75" customHeight="1" s="70">
      <c r="A14" s="78" t="inlineStr">
        <is>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is>
      </c>
      <c r="B14" s="79" t="n"/>
      <c r="C14" s="79" t="n"/>
      <c r="D14" s="79" t="n"/>
      <c r="E14" s="79" t="n"/>
      <c r="F14" s="79" t="n"/>
    </row>
  </sheetData>
  <mergeCells count="5">
    <mergeCell ref="A13:F13"/>
    <mergeCell ref="A14:F14"/>
    <mergeCell ref="A1:F2"/>
    <mergeCell ref="A6:F6"/>
    <mergeCell ref="A4:F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C11"/>
  <sheetViews>
    <sheetView showGridLines="0" workbookViewId="0">
      <pane ySplit="3" topLeftCell="A4" activePane="bottomLeft" state="frozen"/>
      <selection pane="bottomLeft" activeCell="C19" sqref="C19"/>
    </sheetView>
  </sheetViews>
  <sheetFormatPr baseColWidth="10" defaultColWidth="8.9375" defaultRowHeight="14.35"/>
  <cols>
    <col width="12" customWidth="1" style="70" min="1" max="1"/>
    <col width="28" customWidth="1" style="70" min="2" max="2"/>
    <col width="70" customWidth="1" style="70" min="3" max="3"/>
  </cols>
  <sheetData>
    <row r="1" ht="26" customHeight="1" s="70">
      <c r="A1" s="102" t="inlineStr">
        <is>
          <t>A4.0 - Échelle de vraisemblance des scénarios opérationnels</t>
        </is>
      </c>
    </row>
    <row r="2" ht="26" customHeight="1" s="70"/>
    <row r="4" ht="84" customHeight="1" s="70">
      <c r="A4" s="121" t="inlineStr">
        <is>
          <t>Échelle de vraisemblance V1 à V4 issue du guide ANSSI EBIOS RM (p.66) et de la slide 46 du cours. Cette échelle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is>
      </c>
      <c r="B4" s="79" t="n"/>
      <c r="C4" s="94" t="n"/>
    </row>
    <row r="6" ht="22" customHeight="1" s="70">
      <c r="A6" s="103" t="inlineStr">
        <is>
          <t>Échelle V1 à V4</t>
        </is>
      </c>
    </row>
    <row r="7" ht="28" customHeight="1" s="70">
      <c r="A7" s="58" t="inlineStr">
        <is>
          <t>Niveau</t>
        </is>
      </c>
      <c r="B7" s="58" t="inlineStr">
        <is>
          <t>Libellé</t>
        </is>
      </c>
      <c r="C7" s="58" t="inlineStr">
        <is>
          <t>Description</t>
        </is>
      </c>
    </row>
    <row r="8" ht="56" customHeight="1" s="70">
      <c r="A8" s="59" t="inlineStr">
        <is>
          <t>V1</t>
        </is>
      </c>
      <c r="B8" s="60" t="inlineStr">
        <is>
          <t>Peu vraisemblable</t>
        </is>
      </c>
      <c r="C8" s="61" t="inlineStr">
        <is>
          <t>La source de risque a peu de chance d'atteindre son objectif visé selon l'un des modes opératoires envisagés. La vraisemblance du scénario est faible.</t>
        </is>
      </c>
    </row>
    <row r="9" ht="56" customHeight="1" s="70">
      <c r="A9" s="62" t="inlineStr">
        <is>
          <t>V2</t>
        </is>
      </c>
      <c r="B9" s="60" t="inlineStr">
        <is>
          <t>Vraisemblable</t>
        </is>
      </c>
      <c r="C9" s="61" t="inlineStr">
        <is>
          <t>La source de risque est susceptible d'atteindre son objectif visé selon l'un des modes opératoires envisagés. La vraisemblance du scénario est significative.</t>
        </is>
      </c>
    </row>
    <row r="10" ht="56" customHeight="1" s="70">
      <c r="A10" s="63" t="inlineStr">
        <is>
          <t>V3</t>
        </is>
      </c>
      <c r="B10" s="60" t="inlineStr">
        <is>
          <t>Très vraisemblable</t>
        </is>
      </c>
      <c r="C10" s="61" t="inlineStr">
        <is>
          <t>La source de risque va probablement atteindre son objectif visé selon l'un des modes opératoires envisagés. La vraisemblance du scénario est élevée.</t>
        </is>
      </c>
    </row>
    <row r="11" ht="56" customHeight="1" s="70">
      <c r="A11" s="64" t="inlineStr">
        <is>
          <t>V4</t>
        </is>
      </c>
      <c r="B11" s="60" t="inlineStr">
        <is>
          <t>Certain ou déjà produit</t>
        </is>
      </c>
      <c r="C11" s="61" t="inlineStr">
        <is>
          <t>La source de risque va certainement atteindre son objectif visé selon l'un des modes opératoires envisagés OU un tel scénario s'est déjà produit au sein de l'organisation (historique d'incidents).</t>
        </is>
      </c>
    </row>
  </sheetData>
  <mergeCells count="3">
    <mergeCell ref="A4:C4"/>
    <mergeCell ref="A1:C2"/>
    <mergeCell ref="A6:C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08"/>
  <sheetViews>
    <sheetView showGridLines="0" workbookViewId="0">
      <pane ySplit="3" topLeftCell="A4" activePane="bottomLeft" state="frozen"/>
      <selection pane="bottomLeft" activeCell="A1" sqref="A1"/>
    </sheetView>
  </sheetViews>
  <sheetFormatPr baseColWidth="8" defaultRowHeight="15"/>
  <cols>
    <col width="4" customWidth="1" style="70" min="1" max="1"/>
    <col width="25" customWidth="1" style="70" min="2" max="2"/>
    <col width="25" customWidth="1" style="70" min="3" max="3"/>
    <col width="25" customWidth="1" style="70" min="4" max="4"/>
    <col width="25" customWidth="1" style="70" min="5" max="5"/>
    <col width="25" customWidth="1" style="70" min="6" max="6"/>
    <col width="25" customWidth="1" style="70" min="7" max="7"/>
    <col width="25" customWidth="1" style="70" min="8" max="8"/>
    <col width="25" customWidth="1" style="70" min="9" max="9"/>
  </cols>
  <sheetData>
    <row r="1" ht="26" customHeight="1" s="70">
      <c r="A1" s="122" t="inlineStr">
        <is>
          <t>A4.1 - Scénarios opérationnels et graphes d'attaque</t>
        </is>
      </c>
    </row>
    <row r="2" ht="26" customHeight="1" s="70"/>
    <row r="4" ht="130" customHeight="1" s="70">
      <c r="A4" s="123" t="inlineStr">
        <is>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Le chemin retenu pour l'analyse est mis en évidence par des flèches rouges ; les chemins alternatifs possibles sont représentés en gris. La méthode de cotation de la vraisemblance utilisée est l'estimation globale directe (méthode expresse ANSSI, p.65). Les biens supports critiques (BSC) et les vulnérabilités spécifiques exploitées sont listés sous chaque graphe.</t>
        </is>
      </c>
    </row>
    <row r="6" ht="26" customHeight="1" s="70">
      <c r="A6" s="124" t="inlineStr">
        <is>
          <t>SO1 - Étudiant malveillant compromet les résultats académiques (parent SS1, gravité G3, vraisemblance V3)</t>
        </is>
      </c>
    </row>
    <row r="37" ht="24" customHeight="1" s="70">
      <c r="A37" t="inlineStr"/>
      <c r="B37" s="125" t="inlineStr">
        <is>
          <t>Biens supports critiques (BSC)</t>
        </is>
      </c>
      <c r="C37" s="125" t="inlineStr">
        <is>
          <t>Vulnérabilités spécifiques exploitées</t>
        </is>
      </c>
    </row>
    <row r="38" ht="80" customHeight="1" s="70">
      <c r="B38" s="126" t="inlineStr">
        <is>
          <t>• BS01 Plateforme Moodle
• BS02 BDD Moodle
• BS04 Annuaire LDAP
• BS08 Poste étudiant
• BS13 Réseau campus</t>
        </is>
      </c>
      <c r="C38" s="126" t="inlineStr">
        <is>
          <t>• Bind LDAP anonyme sur uc-srv-ldap (slapd sans TLS)
• WiFi étudiant et serveurs sur le même VLAN 192.168.107.0/24 (pas de cloisonnement)
• Pas de MFA ni de rate-limit sur Moodle
• Aucun log centralisé : modification non détectable a posteriori</t>
        </is>
      </c>
    </row>
    <row r="40" ht="26" customHeight="1" s="70">
      <c r="A40" s="124" t="inlineStr">
        <is>
          <t>SO2 - Cybercriminel déploie un rançongiciel (parent SS2, gravité G4, vraisemblance V4)</t>
        </is>
      </c>
    </row>
    <row r="71" ht="24" customHeight="1" s="70">
      <c r="A71" t="inlineStr"/>
      <c r="B71" s="125" t="inlineStr">
        <is>
          <t>Biens supports critiques (BSC)</t>
        </is>
      </c>
      <c r="C71" s="125" t="inlineStr">
        <is>
          <t>Vulnérabilités spécifiques exploitées</t>
        </is>
      </c>
    </row>
    <row r="72" ht="128" customHeight="1" s="70">
      <c r="B72" s="126" t="inlineStr">
        <is>
          <t>• BS01 Plateforme Moodle
• BS02 BDD Moodle
• BS03 Messagerie
• BS05 Calcul/stockage recherche
• BS06 Application web RH
• BS07 BDD RH
• BS10 Poste DSI
• BS13 Réseau campus</t>
        </is>
      </c>
      <c r="C72" s="126" t="inlineStr">
        <is>
          <t>• Clé SSH d'admin DSI stockée en clair sur uc-poste-dsi (/home/ubuntu/.ssh/)
• Sudo NOPASSWD pour ubuntu sur toutes les VMs
• VPN PPTP legacy avec MPPE-128 (RC4 déprécié) et compte partagé (campus/unicampus2024)
• Aucun cloisonnement réseau : un seul VLAN pour serveurs et postes
• Pas de sauvegarde immuable (ni offline) -&gt; rançon = seule option de récupération</t>
        </is>
      </c>
    </row>
    <row r="74" ht="26" customHeight="1" s="70">
      <c r="A74" s="124" t="inlineStr">
        <is>
          <t>SO3 - Cybercriminel exfiltre les données personnelles (parent SS3, gravité G4, vraisemblance V3)</t>
        </is>
      </c>
    </row>
    <row r="105" ht="24" customHeight="1" s="70">
      <c r="A105" t="inlineStr"/>
      <c r="B105" s="125" t="inlineStr">
        <is>
          <t>Biens supports critiques (BSC)</t>
        </is>
      </c>
      <c r="C105" s="125" t="inlineStr">
        <is>
          <t>Vulnérabilités spécifiques exploitées</t>
        </is>
      </c>
    </row>
    <row r="106" ht="80" customHeight="1" s="70">
      <c r="B106" s="126" t="inlineStr">
        <is>
          <t>• BS04 Annuaire LDAP
• BS06 Application web RH
• BS07 BDD RH
• BS11 Passerelle périmétrique</t>
        </is>
      </c>
      <c r="C106" s="126" t="inlineStr">
        <is>
          <t>• Injection SQL non corrigée dans le portail uc-web-rh
• uc-db-rh MariaDB exposée 0.0.0.0:3306, hashs en SHA1 sans sel
• HTTP en clair sur uc-web-rh (capture credentials triviale)
• Bind LDAP anonyme expose la liste complète des comptes
• Pas de détection d'exfiltration (logs locaux non centralisés)</t>
        </is>
      </c>
    </row>
    <row r="108" ht="26" customHeight="1" s="70">
      <c r="A108" s="124" t="inlineStr">
        <is>
          <t>SO4 - Acteur étatique exfiltre le patrimoine scientifique (parent SS4, gravité G3, vraisemblance V2)</t>
        </is>
      </c>
    </row>
    <row r="139" ht="24" customHeight="1" s="70">
      <c r="A139" t="inlineStr"/>
      <c r="B139" s="125" t="inlineStr">
        <is>
          <t>Biens supports critiques (BSC)</t>
        </is>
      </c>
      <c r="C139" s="125" t="inlineStr">
        <is>
          <t>Vulnérabilités spécifiques exploitées</t>
        </is>
      </c>
    </row>
    <row r="140" ht="80" customHeight="1" s="70">
      <c r="B140" s="126" t="inlineStr">
        <is>
          <t>• BS05 Calcul/stockage recherche
• BS09 Poste enseignant-chercheur
• BS13 Réseau campus</t>
        </is>
      </c>
      <c r="C140" s="126" t="inlineStr">
        <is>
          <t>• NFS et Samba exposés sans authentification sur uc-calc-recherche
• Jupyter sans token ni mot de passe sur 0.0.0.0:8888
• Pas de cloisonnement entre VLAN UniCampus et infrastructure des partenaires
• Données scientifiques sensibles stockées en clair, sans classification
• Aucune supervision capable de détecter une exfiltration low-and-slow</t>
        </is>
      </c>
    </row>
    <row r="142" ht="26" customHeight="1" s="70">
      <c r="A142" s="124" t="inlineStr">
        <is>
          <t>SO5 - Personnel mécontent détourne la paie (parent SS5, gravité G3, vraisemblance V2)</t>
        </is>
      </c>
    </row>
    <row r="173" ht="24" customHeight="1" s="70">
      <c r="A173" t="inlineStr"/>
      <c r="B173" s="125" t="inlineStr">
        <is>
          <t>Biens supports critiques (BSC)</t>
        </is>
      </c>
      <c r="C173" s="125" t="inlineStr">
        <is>
          <t>Vulnérabilités spécifiques exploitées</t>
        </is>
      </c>
    </row>
    <row r="174" ht="80" customHeight="1" s="70">
      <c r="B174" s="126" t="inlineStr">
        <is>
          <t>• BS06 Application web RH
• BS07 BDD RH</t>
        </is>
      </c>
      <c r="C174" s="126" t="inlineStr">
        <is>
          <t>• Pas de séparation des privilèges côté application RH (un seul rôle)
• Comptes non révoqués au départ (pas de processus IAM)
• Aucune validation à 4 yeux pour la modification de RIB / salaire
• Pas de journal d'audit applicatif des modifications RH</t>
        </is>
      </c>
    </row>
    <row r="176" ht="26" customHeight="1" s="70">
      <c r="A176" s="124" t="inlineStr">
        <is>
          <t>SO6 - Personnel mécontent détruit par vengeance (parent SS6, gravité G3, vraisemblance V2)</t>
        </is>
      </c>
    </row>
    <row r="207" ht="24" customHeight="1" s="70">
      <c r="A207" t="inlineStr"/>
      <c r="B207" s="125" t="inlineStr">
        <is>
          <t>Biens supports critiques (BSC)</t>
        </is>
      </c>
      <c r="C207" s="125" t="inlineStr">
        <is>
          <t>Vulnérabilités spécifiques exploitées</t>
        </is>
      </c>
    </row>
    <row r="208" ht="80" customHeight="1" s="70">
      <c r="B208" s="126" t="inlineStr">
        <is>
          <t>• BS05 Calcul/stockage recherche
• BS06 Application web RH
• BS07 BDD RH</t>
        </is>
      </c>
      <c r="C208" s="126" t="inlineStr">
        <is>
          <t>• Sudo NOPASSWD pour ubuntu sur toutes les VMs (élévation triviale)
• Compte VPN partagé jamais changé (présent dans email DSI exfiltrable)
• Aucune sauvegarde immuable hors-ligne : suppression = perte définitive
• Pas de contrôle d'accès granulaire sur les partages NFS recherche</t>
        </is>
      </c>
    </row>
  </sheetData>
  <mergeCells count="20">
    <mergeCell ref="C106:I106"/>
    <mergeCell ref="A108:I108"/>
    <mergeCell ref="C38:I38"/>
    <mergeCell ref="C72:I72"/>
    <mergeCell ref="C174:I174"/>
    <mergeCell ref="A74:I74"/>
    <mergeCell ref="C37:I37"/>
    <mergeCell ref="C208:I208"/>
    <mergeCell ref="C140:I140"/>
    <mergeCell ref="A1:I2"/>
    <mergeCell ref="A4:I4"/>
    <mergeCell ref="A40:I40"/>
    <mergeCell ref="A176:I176"/>
    <mergeCell ref="A142:I142"/>
    <mergeCell ref="C173:I173"/>
    <mergeCell ref="C105:I105"/>
    <mergeCell ref="C139:I139"/>
    <mergeCell ref="A6:I6"/>
    <mergeCell ref="C207:I207"/>
    <mergeCell ref="C71:I7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13"/>
  <sheetViews>
    <sheetView showGridLines="0" workbookViewId="0">
      <pane ySplit="7" topLeftCell="A10" activePane="bottomLeft" state="frozen"/>
      <selection pane="bottomLeft" activeCell="A1" sqref="A1:F2"/>
    </sheetView>
  </sheetViews>
  <sheetFormatPr baseColWidth="10" defaultColWidth="8.9375" defaultRowHeight="14.35"/>
  <cols>
    <col width="9" customWidth="1" style="70" min="1" max="1"/>
    <col width="28" customWidth="1" style="70" min="2" max="2"/>
    <col width="45" customWidth="1" style="70" min="3" max="3"/>
    <col width="12" customWidth="1" style="70" min="4" max="5"/>
    <col width="18" customWidth="1" style="70" min="6" max="6"/>
  </cols>
  <sheetData>
    <row r="1" ht="26" customHeight="1" s="70">
      <c r="A1" s="102" t="inlineStr">
        <is>
          <t>A4.2 - Synthèse des scénarios opérationnels et de leur vraisemblance</t>
        </is>
      </c>
    </row>
    <row r="2" ht="26" customHeight="1" s="70"/>
    <row r="4" ht="72" customHeight="1" s="70">
      <c r="A4" s="121" t="inlineStr">
        <is>
          <t>Tableau récapitulatif des 6 scénarios opérationnels (format inspiré de la slide 47 du cours et de la p.67 du guide ANSSI). Pour chaque scénario : la gravité héritée du scénario stratégique parent (A3.3), la vraisemblance globale évaluée en A4.1, et le couple (gravité, vraisemblance) qui sera utilisé en A5 pour positionner les risques sur la matrice de traitement.</t>
        </is>
      </c>
      <c r="B4" s="79" t="n"/>
      <c r="C4" s="79" t="n"/>
      <c r="D4" s="79" t="n"/>
      <c r="E4" s="79" t="n"/>
      <c r="F4" s="94" t="n"/>
    </row>
    <row r="6" ht="22" customHeight="1" s="70">
      <c r="A6" s="103" t="inlineStr">
        <is>
          <t>Récapitulatif gravité × vraisemblance</t>
        </is>
      </c>
    </row>
    <row r="7" ht="36" customHeight="1" s="70">
      <c r="A7" s="58" t="inlineStr">
        <is>
          <t>Code SO</t>
        </is>
      </c>
      <c r="B7" s="58" t="inlineStr">
        <is>
          <t>Source de risque</t>
        </is>
      </c>
      <c r="C7" s="58" t="inlineStr">
        <is>
          <t>Chemin d'attaque retenu (synthèse)</t>
        </is>
      </c>
      <c r="D7" s="58" t="inlineStr">
        <is>
          <t>Gravité</t>
        </is>
      </c>
      <c r="E7" s="58" t="inlineStr">
        <is>
          <t>Vraisemblance</t>
        </is>
      </c>
      <c r="F7" s="58" t="inlineStr">
        <is>
          <t>Niveau de risque (G × V)</t>
        </is>
      </c>
    </row>
    <row r="8" ht="52" customHeight="1" s="70">
      <c r="A8" s="60" t="inlineStr">
        <is>
          <t>SO1</t>
        </is>
      </c>
      <c r="B8" s="61" t="inlineStr">
        <is>
          <t>SR-A Étudiant malveillant</t>
        </is>
      </c>
      <c r="C8" s="61" t="inlineStr">
        <is>
          <t>C: Scan VLAN 192.168.107.0/24 depuis WiFi étudiant → R: Phishing ciblé d'un enseignant (pièce jointe piégée) → T: Connexion Moodle avec credentials enseignant → E: Modification des notes dans mdl_grade_*</t>
        </is>
      </c>
      <c r="D8" s="63" t="inlineStr">
        <is>
          <t>G3</t>
        </is>
      </c>
      <c r="E8" s="63" t="inlineStr">
        <is>
          <t>V3</t>
        </is>
      </c>
      <c r="F8" s="60" t="inlineStr">
        <is>
          <t>Modéré (9)</t>
        </is>
      </c>
    </row>
    <row r="9" ht="52" customHeight="1" s="70">
      <c r="A9" s="65" t="inlineStr">
        <is>
          <t>SO2</t>
        </is>
      </c>
      <c r="B9" s="66" t="inlineStr">
        <is>
          <t>SR-B Cybercriminel organisé</t>
        </is>
      </c>
      <c r="C9" s="66" t="inlineStr">
        <is>
          <t>C: OSINT sur le personnel (LinkedIn, site web) → R: Phishing ciblé du personnel (pièce jointe macro) → T: Vol clé SSH en clair sur uc-poste-dsi (/home/.ssh/) → E: Chiffrement simultané Moodle / RH / Recherche / Mail</t>
        </is>
      </c>
      <c r="D9" s="64" t="inlineStr">
        <is>
          <t>G4</t>
        </is>
      </c>
      <c r="E9" s="64" t="inlineStr">
        <is>
          <t>V4</t>
        </is>
      </c>
      <c r="F9" s="65" t="inlineStr">
        <is>
          <t>Élevé (16)</t>
        </is>
      </c>
    </row>
    <row r="10" ht="52" customHeight="1" s="70">
      <c r="A10" s="60" t="inlineStr">
        <is>
          <t>SO3</t>
        </is>
      </c>
      <c r="B10" s="61" t="inlineStr">
        <is>
          <t>SR-B Cybercriminel organisé</t>
        </is>
      </c>
      <c r="C10" s="61" t="inlineStr">
        <is>
          <t>C: Port scan externe (identification uc-web-rh) → R: Injection SQL sur uc-web-rh (login bypass) → T: Lecture directe uc-db-rh (écoute 0.0.0.0:3306) → E: Exfiltration base RH complète (500 personnels)</t>
        </is>
      </c>
      <c r="D10" s="64" t="inlineStr">
        <is>
          <t>G4</t>
        </is>
      </c>
      <c r="E10" s="63" t="inlineStr">
        <is>
          <t>V3</t>
        </is>
      </c>
      <c r="F10" s="60" t="inlineStr">
        <is>
          <t>Élevé (12)</t>
        </is>
      </c>
    </row>
    <row r="11" ht="52" customHeight="1" s="70">
      <c r="A11" s="65" t="inlineStr">
        <is>
          <t>SO4</t>
        </is>
      </c>
      <c r="B11" s="66" t="inlineStr">
        <is>
          <t>SR-C Acteur étatique / concurrent</t>
        </is>
      </c>
      <c r="C11" s="66" t="inlineStr">
        <is>
          <t>C: Reconnaissance longue durée labos partenaires → R: Compromission labo partenaire PA1 (maillon faible) → T: Accès NFS/Samba partenaire (données partagées) → E: Exfiltration lente et discrète (low and slow)</t>
        </is>
      </c>
      <c r="D11" s="63" t="inlineStr">
        <is>
          <t>G3</t>
        </is>
      </c>
      <c r="E11" s="62" t="inlineStr">
        <is>
          <t>V2</t>
        </is>
      </c>
      <c r="F11" s="65" t="inlineStr">
        <is>
          <t>Modéré (6)</t>
        </is>
      </c>
    </row>
    <row r="12" ht="52" customHeight="1" s="70">
      <c r="A12" s="60" t="inlineStr">
        <is>
          <t>SO5</t>
        </is>
      </c>
      <c r="B12" s="61" t="inlineStr">
        <is>
          <t>SR-E Personnel mécontent ou ex-personnel</t>
        </is>
      </c>
      <c r="C12" s="61" t="inlineStr">
        <is>
          <t>C: Connaissance interne du SI RH (personnel actif/ex) → R: Compte légitime actif → T: Navigation directe uc-web-rh (credentials valides) → E: Modification RIB de versement (détournement)</t>
        </is>
      </c>
      <c r="D12" s="63" t="inlineStr">
        <is>
          <t>G3</t>
        </is>
      </c>
      <c r="E12" s="62" t="inlineStr">
        <is>
          <t>V2</t>
        </is>
      </c>
      <c r="F12" s="60" t="inlineStr">
        <is>
          <t>Modéré (6)</t>
        </is>
      </c>
    </row>
    <row r="13" ht="52" customHeight="1" s="70">
      <c r="A13" s="65" t="inlineStr">
        <is>
          <t>SO6</t>
        </is>
      </c>
      <c r="B13" s="66" t="inlineStr">
        <is>
          <t>SR-E Personnel mécontent ou ex-personnel</t>
        </is>
      </c>
      <c r="C13" s="66" t="inlineStr">
        <is>
          <t>C: Connaissance interne du SI (personnel mécontent) → R: Compte légitime actif → T: Accès direct serveurs avec privilèges utilisateur → E: Suppression données critiques (RH, recherche)</t>
        </is>
      </c>
      <c r="D13" s="63" t="inlineStr">
        <is>
          <t>G3</t>
        </is>
      </c>
      <c r="E13" s="62" t="inlineStr">
        <is>
          <t>V2</t>
        </is>
      </c>
      <c r="F13" s="65" t="inlineStr">
        <is>
          <t>Modéré (6)</t>
        </is>
      </c>
    </row>
  </sheetData>
  <mergeCells count="3">
    <mergeCell ref="A6:F6"/>
    <mergeCell ref="A4:F4"/>
    <mergeCell ref="A1:F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showGridLines="0" zoomScaleNormal="100" workbookViewId="0">
      <pane ySplit="3" topLeftCell="A19" activePane="bottomLeft" state="frozen"/>
      <selection pane="bottomLeft" activeCell="A1" sqref="A1:F2"/>
    </sheetView>
  </sheetViews>
  <sheetFormatPr baseColWidth="10" defaultColWidth="8.703125" defaultRowHeight="14.35"/>
  <cols>
    <col width="12" customWidth="1" style="70" min="1" max="5"/>
    <col width="35" customWidth="1" style="70" min="6" max="6"/>
  </cols>
  <sheetData>
    <row r="1" ht="25.5" customHeight="1" s="70">
      <c r="A1" s="76" t="inlineStr">
        <is>
          <t>A5.0 - Matrice de risque et classes d'acceptation</t>
        </is>
      </c>
    </row>
    <row r="2" ht="25.5" customHeight="1" s="70"/>
    <row r="4" ht="90" customHeight="1" s="70">
      <c r="A4" s="78" t="inlineStr">
        <is>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is>
      </c>
      <c r="B4" s="79" t="n"/>
      <c r="C4" s="79" t="n"/>
      <c r="D4" s="79" t="n"/>
      <c r="E4" s="79" t="n"/>
      <c r="F4" s="79" t="n"/>
    </row>
    <row r="6" ht="21.75" customHeight="1" s="70">
      <c r="A6" s="88" t="inlineStr">
        <is>
          <t>Matrice gravité × vraisemblance (niveau de risque = G × V)</t>
        </is>
      </c>
    </row>
    <row r="7" ht="27.75" customHeight="1" s="70">
      <c r="A7" s="1" t="inlineStr">
        <is>
          <t>G \ V</t>
        </is>
      </c>
      <c r="B7" s="1" t="inlineStr">
        <is>
          <t>V1</t>
        </is>
      </c>
      <c r="C7" s="1" t="inlineStr">
        <is>
          <t>V2</t>
        </is>
      </c>
      <c r="D7" s="1" t="inlineStr">
        <is>
          <t>V3</t>
        </is>
      </c>
      <c r="E7" s="1" t="inlineStr">
        <is>
          <t>V4</t>
        </is>
      </c>
      <c r="F7" s="1" t="inlineStr">
        <is>
          <t>Interprétation</t>
        </is>
      </c>
    </row>
    <row r="8" ht="30" customHeight="1" s="70">
      <c r="A8" s="3" t="inlineStr">
        <is>
          <t>G4 - Critique</t>
        </is>
      </c>
      <c r="B8" s="25" t="inlineStr">
        <is>
          <t>4 (Faible)</t>
        </is>
      </c>
      <c r="C8" s="22" t="inlineStr">
        <is>
          <t>8 (Moyen)</t>
        </is>
      </c>
      <c r="D8" s="16" t="inlineStr">
        <is>
          <t>12 (Élevé)</t>
        </is>
      </c>
      <c r="E8" s="16" t="inlineStr">
        <is>
          <t>16 (Élevé)</t>
        </is>
      </c>
      <c r="F8" s="5" t="inlineStr">
        <is>
          <t>Incapacité d'assurer la mission, survie menacée</t>
        </is>
      </c>
    </row>
    <row r="9" ht="30" customHeight="1" s="70">
      <c r="A9" s="3" t="inlineStr">
        <is>
          <t>G3 - Grave</t>
        </is>
      </c>
      <c r="B9" s="25" t="inlineStr">
        <is>
          <t>3 (Faible)</t>
        </is>
      </c>
      <c r="C9" s="22" t="inlineStr">
        <is>
          <t>6 (Moyen)</t>
        </is>
      </c>
      <c r="D9" s="22" t="inlineStr">
        <is>
          <t>9 (Moyen)</t>
        </is>
      </c>
      <c r="E9" s="16" t="inlineStr">
        <is>
          <t>12 (Élevé)</t>
        </is>
      </c>
      <c r="F9" s="5" t="inlineStr">
        <is>
          <t>Forte dégradation, surmonté avec sérieuses difficultés</t>
        </is>
      </c>
    </row>
    <row r="10" ht="30" customHeight="1" s="70">
      <c r="A10" s="3" t="inlineStr">
        <is>
          <t>G2 - Significative</t>
        </is>
      </c>
      <c r="B10" s="25" t="inlineStr">
        <is>
          <t>2 (Faible)</t>
        </is>
      </c>
      <c r="C10" s="25" t="inlineStr">
        <is>
          <t>4 (Faible)</t>
        </is>
      </c>
      <c r="D10" s="22" t="inlineStr">
        <is>
          <t>6 (Moyen)</t>
        </is>
      </c>
      <c r="E10" s="22" t="inlineStr">
        <is>
          <t>8 (Moyen)</t>
        </is>
      </c>
      <c r="F10" s="5" t="inlineStr">
        <is>
          <t>Dégradation, surmonté avec quelques difficultés</t>
        </is>
      </c>
    </row>
    <row r="11" ht="30" customHeight="1" s="70">
      <c r="A11" s="3" t="inlineStr">
        <is>
          <t>G1 - Mineure</t>
        </is>
      </c>
      <c r="B11" s="25" t="inlineStr">
        <is>
          <t>1 (Faible)</t>
        </is>
      </c>
      <c r="C11" s="25" t="inlineStr">
        <is>
          <t>2 (Faible)</t>
        </is>
      </c>
      <c r="D11" s="25" t="inlineStr">
        <is>
          <t>3 (Faible)</t>
        </is>
      </c>
      <c r="E11" s="25" t="inlineStr">
        <is>
          <t>4 (Faible)</t>
        </is>
      </c>
      <c r="F11" s="5" t="inlineStr">
        <is>
          <t>Aucun impact significatif</t>
        </is>
      </c>
    </row>
    <row r="13" ht="21.75" customHeight="1" s="70">
      <c r="A13" s="88" t="inlineStr">
        <is>
          <t>Classes d'acceptabilité du risque (ANSSI p.74)</t>
        </is>
      </c>
    </row>
    <row r="14" ht="27.75" customHeight="1" s="70">
      <c r="A14" s="1" t="inlineStr">
        <is>
          <t>Niveau</t>
        </is>
      </c>
      <c r="B14" s="1" t="inlineStr">
        <is>
          <t>Couleur</t>
        </is>
      </c>
      <c r="C14" s="1" t="inlineStr">
        <is>
          <t>Score G × V</t>
        </is>
      </c>
      <c r="D14" s="1" t="inlineStr">
        <is>
          <t>Acceptabilité</t>
        </is>
      </c>
      <c r="E14" s="1" t="inlineStr">
        <is>
          <t>Décision</t>
        </is>
      </c>
      <c r="F14" s="1" t="inlineStr">
        <is>
          <t>Actions à mener</t>
        </is>
      </c>
    </row>
    <row r="15" ht="55.5" customHeight="1" s="70">
      <c r="A15" s="25" t="inlineStr">
        <is>
          <t>Faible</t>
        </is>
      </c>
      <c r="B15" s="10" t="inlineStr">
        <is>
          <t>Vert</t>
        </is>
      </c>
      <c r="C15" s="10" t="inlineStr">
        <is>
          <t>≤ 4</t>
        </is>
      </c>
      <c r="D15" s="10" t="inlineStr">
        <is>
          <t>Acceptable en l'état</t>
        </is>
      </c>
      <c r="E15" s="10" t="inlineStr">
        <is>
          <t>Accepter</t>
        </is>
      </c>
      <c r="F15" s="5" t="inlineStr">
        <is>
          <t>Aucune action n'est à entreprendre</t>
        </is>
      </c>
    </row>
    <row r="16" ht="55.5" customHeight="1" s="70">
      <c r="A16" s="22" t="inlineStr">
        <is>
          <t>Moyen</t>
        </is>
      </c>
      <c r="B16" s="10" t="inlineStr">
        <is>
          <t>Orange</t>
        </is>
      </c>
      <c r="C16" s="10" t="inlineStr">
        <is>
          <t>5 à 9</t>
        </is>
      </c>
      <c r="D16" s="10" t="inlineStr">
        <is>
          <t>Tolérable sous contrôle</t>
        </is>
      </c>
      <c r="E16" s="10" t="inlineStr">
        <is>
          <t>Réduire / Surveiller</t>
        </is>
      </c>
      <c r="F16" s="5" t="inlineStr">
        <is>
          <t>Un suivi en termes de gestion du risque est à mener et des actions sont à mettre en place dans le cadre d'une amélioration continue</t>
        </is>
      </c>
    </row>
    <row r="17" ht="55.5" customHeight="1" s="70">
      <c r="A17" s="16" t="inlineStr">
        <is>
          <t>Élevé</t>
        </is>
      </c>
      <c r="B17" s="10" t="inlineStr">
        <is>
          <t>Rouge</t>
        </is>
      </c>
      <c r="C17" s="10" t="inlineStr">
        <is>
          <t>≥ 10</t>
        </is>
      </c>
      <c r="D17" s="10" t="inlineStr">
        <is>
          <t>Inacceptable</t>
        </is>
      </c>
      <c r="E17" s="10" t="inlineStr">
        <is>
          <t>Réduire impérativement</t>
        </is>
      </c>
      <c r="F17" s="5" t="inlineStr">
        <is>
          <t>Des mesures de réduction du risque doivent impérativement être prises à court terme. Dans le cas contraire, tout ou partie de l'activité sera refusé</t>
        </is>
      </c>
    </row>
  </sheetData>
  <mergeCells count="4">
    <mergeCell ref="A13:F13"/>
    <mergeCell ref="A6:F6"/>
    <mergeCell ref="A1:F2"/>
    <mergeCell ref="A4:F4"/>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H16"/>
  <sheetViews>
    <sheetView showGridLines="0" zoomScaleNormal="100" workbookViewId="0">
      <pane ySplit="7" topLeftCell="A8" activePane="bottomLeft" state="frozen"/>
      <selection pane="bottomLeft" activeCell="A4" sqref="A4:H4"/>
    </sheetView>
  </sheetViews>
  <sheetFormatPr baseColWidth="10" defaultColWidth="8.703125" defaultRowHeight="14.35"/>
  <cols>
    <col width="10" customWidth="1" style="70" min="1" max="1"/>
    <col width="35" customWidth="1" style="70" min="2" max="2"/>
    <col width="12" customWidth="1" style="70" min="3" max="4"/>
    <col width="14" customWidth="1" style="70" min="5" max="5"/>
    <col width="12" customWidth="1" style="70" min="6" max="7"/>
    <col width="14" customWidth="1" style="70" min="8" max="8"/>
  </cols>
  <sheetData>
    <row r="1" ht="25.5" customHeight="1" s="70">
      <c r="A1" s="76" t="inlineStr">
        <is>
          <t>A5.1 - Cartographies du risque initial et résiduel</t>
        </is>
      </c>
    </row>
    <row r="2" ht="25.5" customHeight="1" s="70"/>
    <row r="4" ht="84" customHeight="1" s="70">
      <c r="A4" s="78" t="inlineStr">
        <is>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t>
        </is>
      </c>
      <c r="B4" s="79" t="n"/>
      <c r="C4" s="79" t="n"/>
      <c r="D4" s="79" t="n"/>
      <c r="E4" s="79" t="n"/>
      <c r="F4" s="79" t="n"/>
      <c r="G4" s="79" t="n"/>
      <c r="H4" s="79" t="n"/>
    </row>
    <row r="6" ht="21.75" customHeight="1" s="70">
      <c r="A6" s="88" t="inlineStr">
        <is>
          <t>Tableau comparatif des 6 risques (initial vs résiduel)</t>
        </is>
      </c>
    </row>
    <row r="7" ht="36" customHeight="1" s="70">
      <c r="A7" s="1" t="inlineStr">
        <is>
          <t>Code</t>
        </is>
      </c>
      <c r="B7" s="1" t="inlineStr">
        <is>
          <t>Libellé du risque</t>
        </is>
      </c>
      <c r="C7" s="1" t="inlineStr">
        <is>
          <t>G initial</t>
        </is>
      </c>
      <c r="D7" s="1" t="inlineStr">
        <is>
          <t>V initial</t>
        </is>
      </c>
      <c r="E7" s="1" t="inlineStr">
        <is>
          <t>Niveau initial</t>
        </is>
      </c>
      <c r="F7" s="1" t="inlineStr">
        <is>
          <t>G résiduel</t>
        </is>
      </c>
      <c r="G7" s="1" t="inlineStr">
        <is>
          <t>V résiduel</t>
        </is>
      </c>
      <c r="H7" s="1" t="inlineStr">
        <is>
          <t>Niveau résiduel</t>
        </is>
      </c>
    </row>
    <row r="8" ht="37.5" customHeight="1" s="70">
      <c r="A8" s="3" t="inlineStr">
        <is>
          <t>R01</t>
        </is>
      </c>
      <c r="B8" s="5" t="inlineStr">
        <is>
          <t>Compromission des résultats académiques par un étudiant</t>
        </is>
      </c>
      <c r="C8" s="19" t="inlineStr">
        <is>
          <t>G3</t>
        </is>
      </c>
      <c r="D8" s="19" t="inlineStr">
        <is>
          <t>V3</t>
        </is>
      </c>
      <c r="E8" s="22" t="inlineStr">
        <is>
          <t>Moyen (9)</t>
        </is>
      </c>
      <c r="F8" s="19" t="inlineStr">
        <is>
          <t>G3</t>
        </is>
      </c>
      <c r="G8" s="22" t="inlineStr">
        <is>
          <t>V2</t>
        </is>
      </c>
      <c r="H8" s="22" t="inlineStr">
        <is>
          <t>Moyen (6)</t>
        </is>
      </c>
    </row>
    <row r="9" ht="37.5" customHeight="1" s="70">
      <c r="A9" s="7" t="inlineStr">
        <is>
          <t>R02</t>
        </is>
      </c>
      <c r="B9" s="8" t="inlineStr">
        <is>
          <t>Paralysie de l'établissement par rançongiciel</t>
        </is>
      </c>
      <c r="C9" s="16" t="inlineStr">
        <is>
          <t>G4</t>
        </is>
      </c>
      <c r="D9" s="16" t="inlineStr">
        <is>
          <t>V4</t>
        </is>
      </c>
      <c r="E9" s="16" t="inlineStr">
        <is>
          <t>Élevé (16)</t>
        </is>
      </c>
      <c r="F9" s="19" t="inlineStr">
        <is>
          <t>G3</t>
        </is>
      </c>
      <c r="G9" s="22" t="inlineStr">
        <is>
          <t>V2</t>
        </is>
      </c>
      <c r="H9" s="22" t="inlineStr">
        <is>
          <t>Moyen (6)</t>
        </is>
      </c>
    </row>
    <row r="10" ht="37.5" customHeight="1" s="70">
      <c r="A10" s="3" t="inlineStr">
        <is>
          <t>R03</t>
        </is>
      </c>
      <c r="B10" s="5" t="inlineStr">
        <is>
          <t>Exfiltration et revente des données personnelles</t>
        </is>
      </c>
      <c r="C10" s="16" t="inlineStr">
        <is>
          <t>G4</t>
        </is>
      </c>
      <c r="D10" s="19" t="inlineStr">
        <is>
          <t>V3</t>
        </is>
      </c>
      <c r="E10" s="16" t="inlineStr">
        <is>
          <t>Élevé (12)</t>
        </is>
      </c>
      <c r="F10" s="16" t="inlineStr">
        <is>
          <t>G4</t>
        </is>
      </c>
      <c r="G10" s="22" t="inlineStr">
        <is>
          <t>V2</t>
        </is>
      </c>
      <c r="H10" s="22" t="inlineStr">
        <is>
          <t>Moyen (8)</t>
        </is>
      </c>
    </row>
    <row r="11" ht="37.5" customHeight="1" s="70">
      <c r="A11" s="7" t="inlineStr">
        <is>
          <t>R04</t>
        </is>
      </c>
      <c r="B11" s="8" t="inlineStr">
        <is>
          <t>Exfiltration du patrimoine scientifique par un acteur étatique</t>
        </is>
      </c>
      <c r="C11" s="19" t="inlineStr">
        <is>
          <t>G3</t>
        </is>
      </c>
      <c r="D11" s="22" t="inlineStr">
        <is>
          <t>V2</t>
        </is>
      </c>
      <c r="E11" s="22" t="inlineStr">
        <is>
          <t>Moyen (6)</t>
        </is>
      </c>
      <c r="F11" s="19" t="inlineStr">
        <is>
          <t>G3</t>
        </is>
      </c>
      <c r="G11" s="25" t="inlineStr">
        <is>
          <t>V1</t>
        </is>
      </c>
      <c r="H11" s="25" t="inlineStr">
        <is>
          <t>Faible (3)</t>
        </is>
      </c>
    </row>
    <row r="12" ht="37.5" customHeight="1" s="70">
      <c r="A12" s="3" t="inlineStr">
        <is>
          <t>R05</t>
        </is>
      </c>
      <c r="B12" s="5" t="inlineStr">
        <is>
          <t>Détournement de la paie par un personnel</t>
        </is>
      </c>
      <c r="C12" s="19" t="inlineStr">
        <is>
          <t>G3</t>
        </is>
      </c>
      <c r="D12" s="22" t="inlineStr">
        <is>
          <t>V2</t>
        </is>
      </c>
      <c r="E12" s="22" t="inlineStr">
        <is>
          <t>Moyen (6)</t>
        </is>
      </c>
      <c r="F12" s="19" t="inlineStr">
        <is>
          <t>G3</t>
        </is>
      </c>
      <c r="G12" s="25" t="inlineStr">
        <is>
          <t>V1</t>
        </is>
      </c>
      <c r="H12" s="25" t="inlineStr">
        <is>
          <t>Faible (3)</t>
        </is>
      </c>
    </row>
    <row r="13" ht="37.5" customHeight="1" s="70">
      <c r="A13" s="7" t="inlineStr">
        <is>
          <t>R06</t>
        </is>
      </c>
      <c r="B13" s="8" t="inlineStr">
        <is>
          <t>Destruction de données par vengeance</t>
        </is>
      </c>
      <c r="C13" s="19" t="inlineStr">
        <is>
          <t>G3</t>
        </is>
      </c>
      <c r="D13" s="22" t="inlineStr">
        <is>
          <t>V2</t>
        </is>
      </c>
      <c r="E13" s="22" t="inlineStr">
        <is>
          <t>Moyen (6)</t>
        </is>
      </c>
      <c r="F13" s="22" t="inlineStr">
        <is>
          <t>G2</t>
        </is>
      </c>
      <c r="G13" s="25" t="inlineStr">
        <is>
          <t>V1</t>
        </is>
      </c>
      <c r="H13" s="25" t="inlineStr">
        <is>
          <t>Faible (2)</t>
        </is>
      </c>
    </row>
    <row r="16" ht="21.75" customHeight="1" s="70">
      <c r="A16" s="88" t="inlineStr">
        <is>
          <t>Cartographies visuelles (initial vs résiduel)</t>
        </is>
      </c>
    </row>
  </sheetData>
  <mergeCells count="4">
    <mergeCell ref="A1:H2"/>
    <mergeCell ref="A16:H16"/>
    <mergeCell ref="A6:H6"/>
    <mergeCell ref="A4:H4"/>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13"/>
  <sheetViews>
    <sheetView showGridLines="0" zoomScaleNormal="100" workbookViewId="0">
      <pane ySplit="7" topLeftCell="A9" activePane="bottomLeft" state="frozen"/>
      <selection pane="bottomLeft" activeCell="A1" sqref="A1:F2"/>
    </sheetView>
  </sheetViews>
  <sheetFormatPr baseColWidth="10" defaultColWidth="8.703125" defaultRowHeight="14.35"/>
  <cols>
    <col width="9" customWidth="1" style="70" min="1" max="1"/>
    <col width="32" customWidth="1" style="70" min="2" max="2"/>
    <col width="14" customWidth="1" style="70" min="3" max="3"/>
    <col width="18" customWidth="1" style="70" min="4" max="4"/>
    <col width="14" customWidth="1" style="70" min="5" max="5"/>
    <col width="50" customWidth="1" style="70" min="6" max="6"/>
  </cols>
  <sheetData>
    <row r="1" ht="25.5" customHeight="1" s="70">
      <c r="A1" s="76" t="inlineStr">
        <is>
          <t>A5.2 - Stratégie de traitement du risque</t>
        </is>
      </c>
    </row>
    <row r="2" ht="25.5" customHeight="1" s="70"/>
    <row r="4" ht="103.5" customHeight="1" s="70">
      <c r="A4" s="78" t="inlineStr">
        <is>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is>
      </c>
      <c r="B4" s="79" t="n"/>
      <c r="C4" s="79" t="n"/>
      <c r="D4" s="79" t="n"/>
      <c r="E4" s="79" t="n"/>
      <c r="F4" s="79" t="n"/>
    </row>
    <row r="6" ht="21.75" customHeight="1" s="70">
      <c r="A6" s="88" t="inlineStr">
        <is>
          <t>Stratégie de traitement par risque</t>
        </is>
      </c>
    </row>
    <row r="7" ht="36" customHeight="1" s="70">
      <c r="A7" s="1" t="inlineStr">
        <is>
          <t>Code</t>
        </is>
      </c>
      <c r="B7" s="1" t="inlineStr">
        <is>
          <t>Libellé du risque</t>
        </is>
      </c>
      <c r="C7" s="1" t="inlineStr">
        <is>
          <t>Niveau initial</t>
        </is>
      </c>
      <c r="D7" s="1" t="inlineStr">
        <is>
          <t>Stratégie retenue</t>
        </is>
      </c>
      <c r="E7" s="1" t="inlineStr">
        <is>
          <t>Niveau cible</t>
        </is>
      </c>
      <c r="F7" s="1" t="inlineStr">
        <is>
          <t>Justification et objectif de réduction</t>
        </is>
      </c>
    </row>
    <row r="8" ht="85.5" customHeight="1" s="70">
      <c r="A8" s="3" t="inlineStr">
        <is>
          <t>R01</t>
        </is>
      </c>
      <c r="B8" s="5" t="inlineStr">
        <is>
          <t>Compromission des résultats académiques par un étudiant</t>
        </is>
      </c>
      <c r="C8" s="22" t="inlineStr">
        <is>
          <t>Moyen (9)</t>
        </is>
      </c>
      <c r="D8" s="3" t="inlineStr">
        <is>
          <t>Réduire</t>
        </is>
      </c>
      <c r="E8" s="22" t="inlineStr">
        <is>
          <t>Moyen (6)</t>
        </is>
      </c>
      <c r="F8" s="5" t="inlineStr">
        <is>
          <t>Risque critique pour la réputation académique. Cible : ramener la vraisemblance à V2 par cloisonnement réseau, MFA enseignants et logs sur Moodle.</t>
        </is>
      </c>
    </row>
    <row r="9" ht="85.5" customHeight="1" s="70">
      <c r="A9" s="7" t="inlineStr">
        <is>
          <t>R02</t>
        </is>
      </c>
      <c r="B9" s="8" t="inlineStr">
        <is>
          <t>Paralysie de l'établissement par rançongiciel</t>
        </is>
      </c>
      <c r="C9" s="16" t="inlineStr">
        <is>
          <t>Élevé (16)</t>
        </is>
      </c>
      <c r="D9" s="7" t="inlineStr">
        <is>
          <t>Réduire</t>
        </is>
      </c>
      <c r="E9" s="22" t="inlineStr">
        <is>
          <t>Moyen (6)</t>
        </is>
      </c>
      <c r="F9" s="8" t="inlineStr">
        <is>
          <t>Risque le plus grave (G4 V4 = Élevé). Cible : réduire gravité à G3 grâce aux sauvegardes immuables et réduire vraisemblance à V2 par durcissement complet (suppression NOPASSWD, MFA, sensibilisation).</t>
        </is>
      </c>
    </row>
    <row r="10" ht="85.5" customHeight="1" s="70">
      <c r="A10" s="3" t="inlineStr">
        <is>
          <t>R03</t>
        </is>
      </c>
      <c r="B10" s="5" t="inlineStr">
        <is>
          <t>Exfiltration et revente des données personnelles</t>
        </is>
      </c>
      <c r="C10" s="16" t="inlineStr">
        <is>
          <t>Élevé (12)</t>
        </is>
      </c>
      <c r="D10" s="3" t="inlineStr">
        <is>
          <t>Réduire</t>
        </is>
      </c>
      <c r="E10" s="22" t="inlineStr">
        <is>
          <t>Moyen (8)</t>
        </is>
      </c>
      <c r="F10" s="5" t="inlineStr">
        <is>
          <t>Risque critique pour la conformité RGPD (G4 V3 = Élevé). Cible : maintenir gravité G4 (donnée exposée = perdue) mais réduire vraisemblance à V2 par chiffrement, hash bcrypt, WAF, et cloisonnement BDD.</t>
        </is>
      </c>
    </row>
    <row r="11" ht="85.5" customHeight="1" s="70">
      <c r="A11" s="7" t="inlineStr">
        <is>
          <t>R04</t>
        </is>
      </c>
      <c r="B11" s="8" t="inlineStr">
        <is>
          <t>Exfiltration du patrimoine scientifique par un acteur étatique</t>
        </is>
      </c>
      <c r="C11" s="22" t="inlineStr">
        <is>
          <t>Moyen (6)</t>
        </is>
      </c>
      <c r="D11" s="7" t="inlineStr">
        <is>
          <t>Réduire</t>
        </is>
      </c>
      <c r="E11" s="25" t="inlineStr">
        <is>
          <t>Faible (3)</t>
        </is>
      </c>
      <c r="F11" s="8" t="inlineStr">
        <is>
          <t>Risque sur le patrimoine scientifique. Cible : réduire vraisemblance à V1 par DLP, cloisonnement recherche, audit des partenaires (mesure A3.4).</t>
        </is>
      </c>
    </row>
    <row r="12" ht="85.5" customHeight="1" s="70">
      <c r="A12" s="3" t="inlineStr">
        <is>
          <t>R05</t>
        </is>
      </c>
      <c r="B12" s="5" t="inlineStr">
        <is>
          <t>Détournement de la paie par un personnel</t>
        </is>
      </c>
      <c r="C12" s="22" t="inlineStr">
        <is>
          <t>Moyen (6)</t>
        </is>
      </c>
      <c r="D12" s="3" t="inlineStr">
        <is>
          <t>Réduire</t>
        </is>
      </c>
      <c r="E12" s="25" t="inlineStr">
        <is>
          <t>Faible (3)</t>
        </is>
      </c>
      <c r="F12" s="5" t="inlineStr">
        <is>
          <t>Risque interne sur la chaîne RH. Cible : réduire vraisemblance à V1 par MFA, séparation des tâches, journalisation des modifications sensibles, révocation des comptes.</t>
        </is>
      </c>
    </row>
    <row r="13" ht="85.5" customHeight="1" s="70">
      <c r="A13" s="7" t="inlineStr">
        <is>
          <t>R06</t>
        </is>
      </c>
      <c r="B13" s="8" t="inlineStr">
        <is>
          <t>Destruction de données par vengeance</t>
        </is>
      </c>
      <c r="C13" s="22" t="inlineStr">
        <is>
          <t>Moyen (6)</t>
        </is>
      </c>
      <c r="D13" s="7" t="inlineStr">
        <is>
          <t>Réduire</t>
        </is>
      </c>
      <c r="E13" s="25" t="inlineStr">
        <is>
          <t>Faible (2)</t>
        </is>
      </c>
      <c r="F13" s="8" t="inlineStr">
        <is>
          <t>Risque interne. Cible : réduire à la fois gravité à G2 (réversibilité grâce aux sauvegardes immuables) et vraisemblance à V1 (révocation des comptes, journalisation immuable).</t>
        </is>
      </c>
    </row>
  </sheetData>
  <mergeCells count="3">
    <mergeCell ref="A6:F6"/>
    <mergeCell ref="A1:F2"/>
    <mergeCell ref="A4:F4"/>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J43"/>
  <sheetViews>
    <sheetView showGridLines="0" zoomScaleNormal="100" workbookViewId="0">
      <pane ySplit="7" topLeftCell="A54" activePane="bottomLeft" state="frozen"/>
      <selection pane="bottomLeft" activeCell="M6" sqref="M6"/>
    </sheetView>
  </sheetViews>
  <sheetFormatPr baseColWidth="10" defaultColWidth="8.703125" defaultRowHeight="14.35"/>
  <cols>
    <col width="7" customWidth="1" style="70" min="1" max="1"/>
    <col width="50" customWidth="1" style="70" min="2" max="2"/>
    <col width="16" customWidth="1" style="70" min="3" max="3"/>
    <col width="22" customWidth="1" style="70" min="4" max="4"/>
    <col width="28" customWidth="1" style="70" min="5" max="5"/>
    <col width="10" customWidth="1" style="70" min="6" max="6"/>
    <col width="14" customWidth="1" style="70" min="7" max="8"/>
    <col width="10" customWidth="1" style="70" min="9" max="9"/>
    <col width="12" customWidth="1" style="70" min="10" max="10"/>
  </cols>
  <sheetData>
    <row r="1" ht="25.5" customHeight="1" s="70">
      <c r="A1" s="76" t="inlineStr">
        <is>
          <t>A5.3 - Plan de traitement du risque</t>
        </is>
      </c>
    </row>
    <row r="2" ht="25.5" customHeight="1" s="70"/>
    <row r="4" ht="132" customHeight="1" s="70">
      <c r="A4" s="78" t="inlineStr">
        <is>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Certaines des mesures pourrons être implémenté dans la maquette V2 tandis que d'autres (notamment d'ordre gouvernance) ne peuvent pas.</t>
        </is>
      </c>
      <c r="B4" s="79" t="n"/>
      <c r="C4" s="79" t="n"/>
      <c r="D4" s="79" t="n"/>
      <c r="E4" s="79" t="n"/>
      <c r="F4" s="79" t="n"/>
      <c r="G4" s="79" t="n"/>
      <c r="H4" s="79" t="n"/>
      <c r="I4" s="79" t="n"/>
      <c r="J4" s="79" t="n"/>
    </row>
    <row r="6" ht="21.75" customHeight="1" s="70">
      <c r="A6" s="88" t="inlineStr">
        <is>
          <t>Plan de traitement du risque (26 mesures)</t>
        </is>
      </c>
    </row>
    <row r="7" ht="43.5" customHeight="1" s="70">
      <c r="A7" s="1" t="inlineStr">
        <is>
          <t>Code</t>
        </is>
      </c>
      <c r="B7" s="1" t="inlineStr">
        <is>
          <t>Mesure de sécurité</t>
        </is>
      </c>
      <c r="C7" s="1" t="inlineStr">
        <is>
          <t>Risque(s) associé(s)</t>
        </is>
      </c>
      <c r="D7" s="1" t="inlineStr">
        <is>
          <t>Responsable</t>
        </is>
      </c>
      <c r="E7" s="1" t="inlineStr">
        <is>
          <t>Freins et difficultés</t>
        </is>
      </c>
      <c r="F7" s="1" t="inlineStr">
        <is>
          <t>Coût</t>
        </is>
      </c>
      <c r="G7" s="1" t="inlineStr">
        <is>
          <t>Charge estimée</t>
        </is>
      </c>
      <c r="H7" s="1" t="inlineStr">
        <is>
          <t>Échéance</t>
        </is>
      </c>
      <c r="I7" s="1" t="inlineStr">
        <is>
          <t>Priorité</t>
        </is>
      </c>
      <c r="J7" s="1" t="inlineStr">
        <is>
          <t>Statut</t>
        </is>
      </c>
    </row>
    <row r="8" ht="24" customHeight="1" s="70">
      <c r="A8" s="105" t="inlineStr">
        <is>
          <t xml:space="preserve">  GOUVERNANCE</t>
        </is>
      </c>
    </row>
    <row r="9" ht="72" customHeight="1" s="70">
      <c r="A9" s="3" t="inlineStr">
        <is>
          <t>M01</t>
        </is>
      </c>
      <c r="B9" s="5" t="inlineStr">
        <is>
          <t>Définition et publication d'une PSSI (Politique de Sécurité des Systèmes d'Information) incluant la politique de mots de passe (longueur minimale 12 caractères, complexité, rotation 12 mois) et la politique de gestion des comptes</t>
        </is>
      </c>
      <c r="C9" s="10" t="inlineStr">
        <is>
          <t>R02, R03, R05</t>
        </is>
      </c>
      <c r="D9" s="10" t="inlineStr">
        <is>
          <t>RSSI / Direction</t>
        </is>
      </c>
      <c r="E9" s="5" t="inlineStr">
        <is>
          <t>Adoption par les utilisateurs, formation nécessaire</t>
        </is>
      </c>
      <c r="F9" s="3" t="inlineStr">
        <is>
          <t>+</t>
        </is>
      </c>
      <c r="G9" s="10" t="inlineStr">
        <is>
          <t>10 j/h</t>
        </is>
      </c>
      <c r="H9" s="10" t="inlineStr">
        <is>
          <t>T0+3 mois</t>
        </is>
      </c>
      <c r="I9" s="3" t="inlineStr">
        <is>
          <t>P1</t>
        </is>
      </c>
      <c r="J9" s="10" t="inlineStr">
        <is>
          <t>À lancer</t>
        </is>
      </c>
    </row>
    <row r="10" ht="54" customHeight="1" s="70">
      <c r="A10" s="3" t="inlineStr">
        <is>
          <t>M02</t>
        </is>
      </c>
      <c r="B10" s="5" t="inlineStr">
        <is>
          <t>Procédure formalisée de gestion du cycle de vie des comptes : création, modification, révocation automatique au départ du personnel, revue trimestrielle des comptes actifs</t>
        </is>
      </c>
      <c r="C10" s="10" t="inlineStr">
        <is>
          <t>R05, R06</t>
        </is>
      </c>
      <c r="D10" s="10" t="inlineStr">
        <is>
          <t>DRH / DSI</t>
        </is>
      </c>
      <c r="E10" s="5" t="inlineStr">
        <is>
          <t>Coordination entre DRH et DSI nécessaire</t>
        </is>
      </c>
      <c r="F10" s="3" t="inlineStr">
        <is>
          <t>+</t>
        </is>
      </c>
      <c r="G10" s="10" t="inlineStr">
        <is>
          <t>8 j/h</t>
        </is>
      </c>
      <c r="H10" s="10" t="inlineStr">
        <is>
          <t>T0+3 mois</t>
        </is>
      </c>
      <c r="I10" s="3" t="inlineStr">
        <is>
          <t>P1</t>
        </is>
      </c>
      <c r="J10" s="10" t="inlineStr">
        <is>
          <t>À lancer</t>
        </is>
      </c>
    </row>
    <row r="11" ht="54" customHeight="1" s="70">
      <c r="A11" s="3" t="inlineStr">
        <is>
          <t>M03</t>
        </is>
      </c>
      <c r="B11" s="5" t="inlineStr">
        <is>
          <t>Charte d'usage du système d'information signée par chaque étudiant et personnel (à l'inscription et à la prise de poste), rappelant les obligations et sanctions</t>
        </is>
      </c>
      <c r="C11" s="10" t="inlineStr">
        <is>
          <t>R01, R05, R06</t>
        </is>
      </c>
      <c r="D11" s="10" t="inlineStr">
        <is>
          <t>DRH / DSI</t>
        </is>
      </c>
      <c r="E11" s="5" t="inlineStr">
        <is>
          <t>Lourdeur administrative</t>
        </is>
      </c>
      <c r="F11" s="3" t="inlineStr">
        <is>
          <t>+</t>
        </is>
      </c>
      <c r="G11" s="10" t="inlineStr">
        <is>
          <t>5 j/h</t>
        </is>
      </c>
      <c r="H11" s="10" t="inlineStr">
        <is>
          <t>T0+3 mois</t>
        </is>
      </c>
      <c r="I11" s="3" t="inlineStr">
        <is>
          <t>P2</t>
        </is>
      </c>
      <c r="J11" s="10" t="inlineStr">
        <is>
          <t>À lancer</t>
        </is>
      </c>
    </row>
    <row r="12" ht="54" customHeight="1" s="70">
      <c r="A12" s="3" t="inlineStr">
        <is>
          <t>M04</t>
        </is>
      </c>
      <c r="B12" s="5" t="inlineStr">
        <is>
          <t>Élaboration et test du Plan de Continuité d'Activité (PCA) et du Plan de Reprise d'Activité (PRA) couvrant les services critiques (Moodle, RH, recherche)</t>
        </is>
      </c>
      <c r="C12" s="10" t="inlineStr">
        <is>
          <t>R02, R06</t>
        </is>
      </c>
      <c r="D12" s="10" t="inlineStr">
        <is>
          <t>RSSI / Direction</t>
        </is>
      </c>
      <c r="E12" s="5" t="inlineStr">
        <is>
          <t>Coordination de toutes les directions, exercices coûteux</t>
        </is>
      </c>
      <c r="F12" s="3" t="inlineStr">
        <is>
          <t>++</t>
        </is>
      </c>
      <c r="G12" s="10" t="inlineStr">
        <is>
          <t>30 j/h</t>
        </is>
      </c>
      <c r="H12" s="10" t="inlineStr">
        <is>
          <t>T0+12 mois</t>
        </is>
      </c>
      <c r="I12" s="3" t="inlineStr">
        <is>
          <t>P2</t>
        </is>
      </c>
      <c r="J12" s="10" t="inlineStr">
        <is>
          <t>À lancer</t>
        </is>
      </c>
    </row>
    <row r="13" ht="49.5" customHeight="1" s="70">
      <c r="A13" s="3" t="inlineStr">
        <is>
          <t>M05</t>
        </is>
      </c>
      <c r="B13" s="5" t="inlineStr">
        <is>
          <t>Programme de sensibilisation cyber : campagne de phishing simulé trimestrielle, formations e-learning obligatoires, communications régulières</t>
        </is>
      </c>
      <c r="C13" s="10" t="inlineStr">
        <is>
          <t>R02, R03</t>
        </is>
      </c>
      <c r="D13" s="10" t="inlineStr">
        <is>
          <t>RSSI</t>
        </is>
      </c>
      <c r="E13" s="5" t="inlineStr">
        <is>
          <t>Engagement des utilisateurs, budget annuel récurrent</t>
        </is>
      </c>
      <c r="F13" s="3" t="inlineStr">
        <is>
          <t>++</t>
        </is>
      </c>
      <c r="G13" s="10" t="inlineStr">
        <is>
          <t>Récurrente</t>
        </is>
      </c>
      <c r="H13" s="10" t="inlineStr">
        <is>
          <t>T0+3 mois puis continu</t>
        </is>
      </c>
      <c r="I13" s="3" t="inlineStr">
        <is>
          <t>P1</t>
        </is>
      </c>
      <c r="J13" s="10" t="inlineStr">
        <is>
          <t>À lancer</t>
        </is>
      </c>
    </row>
    <row r="14" ht="54" customHeight="1" s="70">
      <c r="A14" s="3" t="inlineStr">
        <is>
          <t>M06</t>
        </is>
      </c>
      <c r="B14" s="5" t="inlineStr">
        <is>
          <t>Inclusion de clauses cyber dans les contrats des prestataires (RGPD, notification d'incident &lt; 72 h, audit de sécurité périodique, droit d'audit) — cf. mesure A3.4 pour PR1</t>
        </is>
      </c>
      <c r="C14" s="10" t="inlineStr">
        <is>
          <t>R02, R03, R04</t>
        </is>
      </c>
      <c r="D14" s="10" t="inlineStr">
        <is>
          <t>RSSI / Direction Juridique</t>
        </is>
      </c>
      <c r="E14" s="5" t="inlineStr">
        <is>
          <t>Renégociation des contrats existants, résistance des prestataires</t>
        </is>
      </c>
      <c r="F14" s="3" t="inlineStr">
        <is>
          <t>+</t>
        </is>
      </c>
      <c r="G14" s="10" t="inlineStr">
        <is>
          <t>15 j/h</t>
        </is>
      </c>
      <c r="H14" s="10" t="inlineStr">
        <is>
          <t>T0+6 mois</t>
        </is>
      </c>
      <c r="I14" s="3" t="inlineStr">
        <is>
          <t>P2</t>
        </is>
      </c>
      <c r="J14" s="10" t="inlineStr">
        <is>
          <t>À lancer</t>
        </is>
      </c>
    </row>
    <row r="15" ht="24" customHeight="1" s="70">
      <c r="A15" s="107" t="inlineStr">
        <is>
          <t xml:space="preserve">  PROTECTION</t>
        </is>
      </c>
    </row>
    <row r="16" ht="54" customHeight="1" s="70">
      <c r="A16" s="43" t="inlineStr">
        <is>
          <t>M07</t>
        </is>
      </c>
      <c r="B16" s="44" t="inlineStr">
        <is>
          <t>Cloisonnement réseau : création de VLANs séparés pour étudiants (WiFi, salles info), personnel administratif, recherche, DSI/infrastructure, et DMZ publique — pare-feu entre les VLANs</t>
        </is>
      </c>
      <c r="C16" s="45" t="inlineStr">
        <is>
          <t>R01, R02, R03, R04</t>
        </is>
      </c>
      <c r="D16" s="45" t="inlineStr">
        <is>
          <t>DSI</t>
        </is>
      </c>
      <c r="E16" s="44" t="inlineStr">
        <is>
          <t>Reconfiguration réseau lourde, interruptions de service</t>
        </is>
      </c>
      <c r="F16" s="43" t="inlineStr">
        <is>
          <t>++</t>
        </is>
      </c>
      <c r="G16" s="45" t="inlineStr">
        <is>
          <t>20 j/h</t>
        </is>
      </c>
      <c r="H16" s="45" t="inlineStr">
        <is>
          <t>T0+6 mois</t>
        </is>
      </c>
      <c r="I16" s="43" t="inlineStr">
        <is>
          <t>P1</t>
        </is>
      </c>
      <c r="J16" s="45" t="inlineStr">
        <is>
          <t>À lancer</t>
        </is>
      </c>
    </row>
    <row r="17" ht="49.5" customHeight="1" s="70">
      <c r="A17" s="43" t="inlineStr">
        <is>
          <t>M08</t>
        </is>
      </c>
      <c r="B17" s="44" t="inlineStr">
        <is>
          <t>Suppression du bind LDAP anonyme et activation de LDAPS (TLS) sur uc-srv-ldap ; ACLs strictes par compte et fonction</t>
        </is>
      </c>
      <c r="C17" s="45" t="inlineStr">
        <is>
          <t>R01, R03</t>
        </is>
      </c>
      <c r="D17" s="45" t="inlineStr">
        <is>
          <t>DSI</t>
        </is>
      </c>
      <c r="E17" s="44" t="inlineStr">
        <is>
          <t>Mise à jour des applications clientes LDAP</t>
        </is>
      </c>
      <c r="F17" s="43" t="inlineStr">
        <is>
          <t>+</t>
        </is>
      </c>
      <c r="G17" s="45" t="inlineStr">
        <is>
          <t>5 j/h</t>
        </is>
      </c>
      <c r="H17" s="45" t="inlineStr">
        <is>
          <t>T0+3 mois</t>
        </is>
      </c>
      <c r="I17" s="43" t="inlineStr">
        <is>
          <t>P1</t>
        </is>
      </c>
      <c r="J17" s="45" t="inlineStr">
        <is>
          <t>À lancer</t>
        </is>
      </c>
    </row>
    <row r="18" ht="49.5" customHeight="1" s="70">
      <c r="A18" s="43" t="inlineStr">
        <is>
          <t>M09</t>
        </is>
      </c>
      <c r="B18" s="44" t="inlineStr">
        <is>
          <t>Migration des hashs SHA1 sans sel de uc-db-rh vers bcrypt (coût 12) ou argon2id ; renouvellement forcé des mots de passe des comptes affectés</t>
        </is>
      </c>
      <c r="C18" s="45" t="inlineStr">
        <is>
          <t>R02, R03, R05</t>
        </is>
      </c>
      <c r="D18" s="45" t="inlineStr">
        <is>
          <t>DSI</t>
        </is>
      </c>
      <c r="E18" s="44" t="inlineStr">
        <is>
          <t>Renouvellement des mots de passe à orchestrer</t>
        </is>
      </c>
      <c r="F18" s="43" t="inlineStr">
        <is>
          <t>+</t>
        </is>
      </c>
      <c r="G18" s="45" t="inlineStr">
        <is>
          <t>5 j/h</t>
        </is>
      </c>
      <c r="H18" s="45" t="inlineStr">
        <is>
          <t>T0+3 mois</t>
        </is>
      </c>
      <c r="I18" s="43" t="inlineStr">
        <is>
          <t>P1</t>
        </is>
      </c>
      <c r="J18" s="45" t="inlineStr">
        <is>
          <t>À lancer</t>
        </is>
      </c>
    </row>
    <row r="19" ht="49.5" customHeight="1" s="70">
      <c r="A19" s="43" t="inlineStr">
        <is>
          <t>M10</t>
        </is>
      </c>
      <c r="B19" s="44" t="inlineStr">
        <is>
          <t>Suppression de sudo NOPASSWD sur uc-poste-dsi ; configuration sudo avec mot de passe, journalisation systématique via auditd</t>
        </is>
      </c>
      <c r="C19" s="45" t="inlineStr">
        <is>
          <t>R02, R06</t>
        </is>
      </c>
      <c r="D19" s="45" t="inlineStr">
        <is>
          <t>DSI</t>
        </is>
      </c>
      <c r="E19" s="44" t="inlineStr">
        <is>
          <t>Adaptation des scripts d'administration</t>
        </is>
      </c>
      <c r="F19" s="43" t="inlineStr">
        <is>
          <t>+</t>
        </is>
      </c>
      <c r="G19" s="45" t="inlineStr">
        <is>
          <t>3 j/h</t>
        </is>
      </c>
      <c r="H19" s="45" t="inlineStr">
        <is>
          <t>T0+3 mois</t>
        </is>
      </c>
      <c r="I19" s="43" t="inlineStr">
        <is>
          <t>P1</t>
        </is>
      </c>
      <c r="J19" s="45" t="inlineStr">
        <is>
          <t>À lancer</t>
        </is>
      </c>
    </row>
    <row r="20" ht="49.5" customHeight="1" s="70">
      <c r="A20" s="43" t="inlineStr">
        <is>
          <t>M11</t>
        </is>
      </c>
      <c r="B20" s="44" t="inlineStr">
        <is>
          <t>Activation HTTPS/TLS systématique sur toutes les applications web (Moodle, RH, etc.) via Let's Encrypt ou PKI interne ; redirection HTTP → HTTPS</t>
        </is>
      </c>
      <c r="C20" s="45" t="inlineStr">
        <is>
          <t>R03, R05</t>
        </is>
      </c>
      <c r="D20" s="45" t="inlineStr">
        <is>
          <t>DSI</t>
        </is>
      </c>
      <c r="E20" s="44" t="inlineStr">
        <is>
          <t>Gestion des certificats, mise à jour des liens internes</t>
        </is>
      </c>
      <c r="F20" s="43" t="inlineStr">
        <is>
          <t>+</t>
        </is>
      </c>
      <c r="G20" s="45" t="inlineStr">
        <is>
          <t>8 j/h</t>
        </is>
      </c>
      <c r="H20" s="45" t="inlineStr">
        <is>
          <t>T0+3 mois</t>
        </is>
      </c>
      <c r="I20" s="43" t="inlineStr">
        <is>
          <t>P1</t>
        </is>
      </c>
      <c r="J20" s="45" t="inlineStr">
        <is>
          <t>À lancer</t>
        </is>
      </c>
    </row>
    <row r="21" ht="49.5" customHeight="1" s="70">
      <c r="A21" s="43" t="inlineStr">
        <is>
          <t>M12</t>
        </is>
      </c>
      <c r="B21" s="44" t="inlineStr">
        <is>
          <t>Restriction de l'écoute de uc-db-rh sur 127.0.0.1 (binding local) ou réseau RH uniquement ; suppression de l'écoute 0.0.0.0:3306</t>
        </is>
      </c>
      <c r="C21" s="45" t="inlineStr">
        <is>
          <t>R03, R05</t>
        </is>
      </c>
      <c r="D21" s="45" t="inlineStr">
        <is>
          <t>DSI</t>
        </is>
      </c>
      <c r="E21" s="44" t="inlineStr">
        <is>
          <t>Aucun</t>
        </is>
      </c>
      <c r="F21" s="43" t="inlineStr">
        <is>
          <t>+</t>
        </is>
      </c>
      <c r="G21" s="45" t="inlineStr">
        <is>
          <t>1 j/h</t>
        </is>
      </c>
      <c r="H21" s="45" t="inlineStr">
        <is>
          <t>T0+3 mois</t>
        </is>
      </c>
      <c r="I21" s="43" t="inlineStr">
        <is>
          <t>P1</t>
        </is>
      </c>
      <c r="J21" s="45" t="inlineStr">
        <is>
          <t>À lancer</t>
        </is>
      </c>
    </row>
    <row r="22" ht="49.5" customHeight="1" s="70">
      <c r="A22" s="43" t="inlineStr">
        <is>
          <t>M13</t>
        </is>
      </c>
      <c r="B22" s="44" t="inlineStr">
        <is>
          <t>Remplacement du VPN PPTP legacy (MPPE-128 RC4 déprécié) par WireGuard ou OpenVPN avec authentification par certificats X.509</t>
        </is>
      </c>
      <c r="C22" s="45" t="inlineStr">
        <is>
          <t>R02</t>
        </is>
      </c>
      <c r="D22" s="45" t="inlineStr">
        <is>
          <t>DSI</t>
        </is>
      </c>
      <c r="E22" s="44" t="inlineStr">
        <is>
          <t>Distribution des certificats aux personnels distants</t>
        </is>
      </c>
      <c r="F22" s="43" t="inlineStr">
        <is>
          <t>+</t>
        </is>
      </c>
      <c r="G22" s="45" t="inlineStr">
        <is>
          <t>10 j/h</t>
        </is>
      </c>
      <c r="H22" s="45" t="inlineStr">
        <is>
          <t>T0+6 mois</t>
        </is>
      </c>
      <c r="I22" s="43" t="inlineStr">
        <is>
          <t>P2</t>
        </is>
      </c>
      <c r="J22" s="45" t="inlineStr">
        <is>
          <t>À lancer</t>
        </is>
      </c>
    </row>
    <row r="23" ht="49.5" customHeight="1" s="70">
      <c r="A23" s="43" t="inlineStr">
        <is>
          <t>M14</t>
        </is>
      </c>
      <c r="B23" s="44" t="inlineStr">
        <is>
          <t>Suppression du compte VPN partagé (campus / unicampus2024) ; création de comptes individuels avec rotation des credentials et révocation à la sortie</t>
        </is>
      </c>
      <c r="C23" s="45" t="inlineStr">
        <is>
          <t>R02, R06</t>
        </is>
      </c>
      <c r="D23" s="45" t="inlineStr">
        <is>
          <t>DSI</t>
        </is>
      </c>
      <c r="E23" s="44" t="inlineStr">
        <is>
          <t>Création de comptes individuels en volume</t>
        </is>
      </c>
      <c r="F23" s="43" t="inlineStr">
        <is>
          <t>+</t>
        </is>
      </c>
      <c r="G23" s="45" t="inlineStr">
        <is>
          <t>5 j/h</t>
        </is>
      </c>
      <c r="H23" s="45" t="inlineStr">
        <is>
          <t>T0+3 mois</t>
        </is>
      </c>
      <c r="I23" s="43" t="inlineStr">
        <is>
          <t>P1</t>
        </is>
      </c>
      <c r="J23" s="45" t="inlineStr">
        <is>
          <t>À lancer</t>
        </is>
      </c>
    </row>
    <row r="24" ht="54" customHeight="1" s="70">
      <c r="A24" s="3" t="inlineStr">
        <is>
          <t>M15</t>
        </is>
      </c>
      <c r="B24" s="5" t="inlineStr">
        <is>
          <t>Mise en place d'une authentification multifacteur (MFA) sur les applications critiques : Moodle (enseignants/admins), uc-web-rh, accès VPN, comptes administrateurs</t>
        </is>
      </c>
      <c r="C24" s="10" t="inlineStr">
        <is>
          <t>R01, R02, R03, R05</t>
        </is>
      </c>
      <c r="D24" s="10" t="inlineStr">
        <is>
          <t>DSI / RSSI</t>
        </is>
      </c>
      <c r="E24" s="5" t="inlineStr">
        <is>
          <t>Adoption utilisateurs, gestion des tokens</t>
        </is>
      </c>
      <c r="F24" s="3" t="inlineStr">
        <is>
          <t>++</t>
        </is>
      </c>
      <c r="G24" s="10" t="inlineStr">
        <is>
          <t>15 j/h</t>
        </is>
      </c>
      <c r="H24" s="10" t="inlineStr">
        <is>
          <t>T0+6 mois</t>
        </is>
      </c>
      <c r="I24" s="3" t="inlineStr">
        <is>
          <t>P1</t>
        </is>
      </c>
      <c r="J24" s="10" t="inlineStr">
        <is>
          <t>À lancer</t>
        </is>
      </c>
    </row>
    <row r="25" ht="54" customHeight="1" s="70">
      <c r="A25" s="3" t="inlineStr">
        <is>
          <t>M16</t>
        </is>
      </c>
      <c r="B25" s="5" t="inlineStr">
        <is>
          <t>Installation d'un WAF (Web Application Firewall) devant uc-web-moodle et uc-web-rh avec règles OWASP CRS, protection contre injections SQL, XSS, brute-force</t>
        </is>
      </c>
      <c r="C25" s="10" t="inlineStr">
        <is>
          <t>R03</t>
        </is>
      </c>
      <c r="D25" s="10" t="inlineStr">
        <is>
          <t>DSI</t>
        </is>
      </c>
      <c r="E25" s="5" t="inlineStr">
        <is>
          <t>Ajustement des règles pour éviter les faux positifs</t>
        </is>
      </c>
      <c r="F25" s="3" t="inlineStr">
        <is>
          <t>++</t>
        </is>
      </c>
      <c r="G25" s="10" t="inlineStr">
        <is>
          <t>10 j/h</t>
        </is>
      </c>
      <c r="H25" s="10" t="inlineStr">
        <is>
          <t>T0+9 mois</t>
        </is>
      </c>
      <c r="I25" s="3" t="inlineStr">
        <is>
          <t>P2</t>
        </is>
      </c>
      <c r="J25" s="10" t="inlineStr">
        <is>
          <t>À lancer</t>
        </is>
      </c>
    </row>
    <row r="26" ht="24" customHeight="1" s="70">
      <c r="A26" s="108" t="inlineStr">
        <is>
          <t xml:space="preserve">  DÉFENSE</t>
        </is>
      </c>
    </row>
    <row r="27" ht="72" customHeight="1" s="70">
      <c r="A27" s="43" t="inlineStr">
        <is>
          <t>M17</t>
        </is>
      </c>
      <c r="B27" s="44" t="inlineStr">
        <is>
          <t>Mise en place d'un système de logs centralisés (rsyslog + Graylog ou ELK) collectant les journaux de tous les serveurs, applications, équipements réseau ; rétention 12 mois minimum, conservation immuable</t>
        </is>
      </c>
      <c r="C27" s="45" t="inlineStr">
        <is>
          <t>Tous</t>
        </is>
      </c>
      <c r="D27" s="45" t="inlineStr">
        <is>
          <t>DSI / RSSI</t>
        </is>
      </c>
      <c r="E27" s="44" t="inlineStr">
        <is>
          <t>Volume de logs important, stockage à provisionner</t>
        </is>
      </c>
      <c r="F27" s="43" t="inlineStr">
        <is>
          <t>++</t>
        </is>
      </c>
      <c r="G27" s="45" t="inlineStr">
        <is>
          <t>20 j/h</t>
        </is>
      </c>
      <c r="H27" s="45" t="inlineStr">
        <is>
          <t>T0+6 mois</t>
        </is>
      </c>
      <c r="I27" s="43" t="inlineStr">
        <is>
          <t>P1</t>
        </is>
      </c>
      <c r="J27" s="45" t="inlineStr">
        <is>
          <t>À lancer</t>
        </is>
      </c>
    </row>
    <row r="28" ht="49.5" customHeight="1" s="70">
      <c r="A28" s="3" t="inlineStr">
        <is>
          <t>M18</t>
        </is>
      </c>
      <c r="B28" s="5" t="inlineStr">
        <is>
          <t>Déploiement d'une sonde IDS/IPS (Suricata) en bordure DMZ et entre VLANs, avec règles Emerging Threats à jour</t>
        </is>
      </c>
      <c r="C28" s="10" t="inlineStr">
        <is>
          <t>R02, R03</t>
        </is>
      </c>
      <c r="D28" s="10" t="inlineStr">
        <is>
          <t>DSI / RSSI</t>
        </is>
      </c>
      <c r="E28" s="5" t="inlineStr">
        <is>
          <t>Maintenance des règles, ajustements</t>
        </is>
      </c>
      <c r="F28" s="3" t="inlineStr">
        <is>
          <t>++</t>
        </is>
      </c>
      <c r="G28" s="10" t="inlineStr">
        <is>
          <t>15 j/h</t>
        </is>
      </c>
      <c r="H28" s="10" t="inlineStr">
        <is>
          <t>T0+9 mois</t>
        </is>
      </c>
      <c r="I28" s="3" t="inlineStr">
        <is>
          <t>P2</t>
        </is>
      </c>
      <c r="J28" s="10" t="inlineStr">
        <is>
          <t>À lancer</t>
        </is>
      </c>
    </row>
    <row r="29" ht="54" customHeight="1" s="70">
      <c r="A29" s="3" t="inlineStr">
        <is>
          <t>M19</t>
        </is>
      </c>
      <c r="B29" s="5" t="inlineStr">
        <is>
          <t>Mise en place d'un SIEM (Wazuh ou équivalent) pour la corrélation des événements, la détection d'anomalies et l'alerte temps réel ; définition de cas d'usage prioritaires</t>
        </is>
      </c>
      <c r="C29" s="10" t="inlineStr">
        <is>
          <t>Tous</t>
        </is>
      </c>
      <c r="D29" s="10" t="inlineStr">
        <is>
          <t>RSSI</t>
        </is>
      </c>
      <c r="E29" s="5" t="inlineStr">
        <is>
          <t>Compétences nécessaires pour configurer les règles</t>
        </is>
      </c>
      <c r="F29" s="3" t="inlineStr">
        <is>
          <t>+++</t>
        </is>
      </c>
      <c r="G29" s="10" t="inlineStr">
        <is>
          <t>30 j/h</t>
        </is>
      </c>
      <c r="H29" s="10" t="inlineStr">
        <is>
          <t>T0+12 mois</t>
        </is>
      </c>
      <c r="I29" s="3" t="inlineStr">
        <is>
          <t>P2</t>
        </is>
      </c>
      <c r="J29" s="10" t="inlineStr">
        <is>
          <t>À lancer</t>
        </is>
      </c>
    </row>
    <row r="30" ht="49.5" customHeight="1" s="70">
      <c r="A30" s="3" t="inlineStr">
        <is>
          <t>M20</t>
        </is>
      </c>
      <c r="B30" s="5" t="inlineStr">
        <is>
          <t>Sonde DLP (Data Loss Prevention) sur les flux sortants pour détecter les exfiltrations de fichiers de recherche en volume</t>
        </is>
      </c>
      <c r="C30" s="10" t="inlineStr">
        <is>
          <t>R03, R04</t>
        </is>
      </c>
      <c r="D30" s="10" t="inlineStr">
        <is>
          <t>RSSI</t>
        </is>
      </c>
      <c r="E30" s="5" t="inlineStr">
        <is>
          <t>Définition des règles DLP, faux positifs</t>
        </is>
      </c>
      <c r="F30" s="3" t="inlineStr">
        <is>
          <t>+++</t>
        </is>
      </c>
      <c r="G30" s="10" t="inlineStr">
        <is>
          <t>20 j/h</t>
        </is>
      </c>
      <c r="H30" s="10" t="inlineStr">
        <is>
          <t>T0+18 mois</t>
        </is>
      </c>
      <c r="I30" s="3" t="inlineStr">
        <is>
          <t>P3</t>
        </is>
      </c>
      <c r="J30" s="10" t="inlineStr">
        <is>
          <t>À lancer</t>
        </is>
      </c>
    </row>
    <row r="31" ht="54" customHeight="1" s="70">
      <c r="A31" s="3" t="inlineStr">
        <is>
          <t>M21</t>
        </is>
      </c>
      <c r="B31" s="5" t="inlineStr">
        <is>
          <t>Déploiement d'un EDR (Endpoint Detection and Response) sur les postes de la DSI et du personnel administratif, extension progressive aux postes étudiants</t>
        </is>
      </c>
      <c r="C31" s="10" t="inlineStr">
        <is>
          <t>R02</t>
        </is>
      </c>
      <c r="D31" s="10" t="inlineStr">
        <is>
          <t>DSI</t>
        </is>
      </c>
      <c r="E31" s="5" t="inlineStr">
        <is>
          <t>Licences EDR, impact performance</t>
        </is>
      </c>
      <c r="F31" s="3" t="inlineStr">
        <is>
          <t>+++</t>
        </is>
      </c>
      <c r="G31" s="10" t="inlineStr">
        <is>
          <t>20 j/h</t>
        </is>
      </c>
      <c r="H31" s="10" t="inlineStr">
        <is>
          <t>T0+12 mois</t>
        </is>
      </c>
      <c r="I31" s="3" t="inlineStr">
        <is>
          <t>P2</t>
        </is>
      </c>
      <c r="J31" s="10" t="inlineStr">
        <is>
          <t>À lancer</t>
        </is>
      </c>
    </row>
    <row r="32" ht="24" customHeight="1" s="70">
      <c r="A32" s="104" t="inlineStr">
        <is>
          <t xml:space="preserve">  RÉSILIENCE</t>
        </is>
      </c>
    </row>
    <row r="33" ht="54" customHeight="1" s="70">
      <c r="A33" s="43" t="inlineStr">
        <is>
          <t>M22</t>
        </is>
      </c>
      <c r="B33" s="44" t="inlineStr">
        <is>
          <t>Mise en place de sauvegardes immuables : snapshots LVM read-only, externalisation vers stockage S3-compatible avec Object Lock, sauvegardes 3-2-1, rétention différentielle 30/90/365 jours</t>
        </is>
      </c>
      <c r="C33" s="45" t="inlineStr">
        <is>
          <t>R02, R06</t>
        </is>
      </c>
      <c r="D33" s="45" t="inlineStr">
        <is>
          <t>DSI</t>
        </is>
      </c>
      <c r="E33" s="44" t="inlineStr">
        <is>
          <t>Stockage à provisionner, bande passante</t>
        </is>
      </c>
      <c r="F33" s="43" t="inlineStr">
        <is>
          <t>++</t>
        </is>
      </c>
      <c r="G33" s="45" t="inlineStr">
        <is>
          <t>15 j/h</t>
        </is>
      </c>
      <c r="H33" s="45" t="inlineStr">
        <is>
          <t>T0+6 mois</t>
        </is>
      </c>
      <c r="I33" s="43" t="inlineStr">
        <is>
          <t>P1</t>
        </is>
      </c>
      <c r="J33" s="45" t="inlineStr">
        <is>
          <t>À lancer</t>
        </is>
      </c>
    </row>
    <row r="34" ht="49.5" customHeight="1" s="70">
      <c r="A34" s="3" t="inlineStr">
        <is>
          <t>M23</t>
        </is>
      </c>
      <c r="B34" s="5" t="inlineStr">
        <is>
          <t>Tests de restauration semestriels documentés sur un échantillon représentatif (Moodle, RH, recherche) ; validation du RTO et du RPO contractuels</t>
        </is>
      </c>
      <c r="C34" s="10" t="inlineStr">
        <is>
          <t>R02, R06</t>
        </is>
      </c>
      <c r="D34" s="10" t="inlineStr">
        <is>
          <t>DSI</t>
        </is>
      </c>
      <c r="E34" s="5" t="inlineStr">
        <is>
          <t>Mobilisation des équipes pour les tests</t>
        </is>
      </c>
      <c r="F34" s="3" t="inlineStr">
        <is>
          <t>+</t>
        </is>
      </c>
      <c r="G34" s="10" t="inlineStr">
        <is>
          <t>10 j/h / semestre</t>
        </is>
      </c>
      <c r="H34" s="10" t="inlineStr">
        <is>
          <t>T0+9 mois puis continu</t>
        </is>
      </c>
      <c r="I34" s="3" t="inlineStr">
        <is>
          <t>P2</t>
        </is>
      </c>
      <c r="J34" s="10" t="inlineStr">
        <is>
          <t>À lancer</t>
        </is>
      </c>
    </row>
    <row r="35" ht="49.5" customHeight="1" s="70">
      <c r="A35" s="3" t="inlineStr">
        <is>
          <t>M24</t>
        </is>
      </c>
      <c r="B35" s="5" t="inlineStr">
        <is>
          <t>Snapshots automatiques quotidiens des VMs critiques au niveau hyperviseur, rétention 7 jours en local, 30 jours hors-site</t>
        </is>
      </c>
      <c r="C35" s="10" t="inlineStr">
        <is>
          <t>R02, R06</t>
        </is>
      </c>
      <c r="D35" s="10" t="inlineStr">
        <is>
          <t>DSI</t>
        </is>
      </c>
      <c r="E35" s="5" t="inlineStr">
        <is>
          <t>Stockage à provisionner</t>
        </is>
      </c>
      <c r="F35" s="3" t="inlineStr">
        <is>
          <t>+</t>
        </is>
      </c>
      <c r="G35" s="10" t="inlineStr">
        <is>
          <t>5 j/h</t>
        </is>
      </c>
      <c r="H35" s="10" t="inlineStr">
        <is>
          <t>T0+3 mois</t>
        </is>
      </c>
      <c r="I35" s="3" t="inlineStr">
        <is>
          <t>P1</t>
        </is>
      </c>
      <c r="J35" s="10" t="inlineStr">
        <is>
          <t>À lancer</t>
        </is>
      </c>
    </row>
    <row r="36" ht="54" customHeight="1" s="70">
      <c r="A36" s="3" t="inlineStr">
        <is>
          <t>M25</t>
        </is>
      </c>
      <c r="B36" s="5" t="inlineStr">
        <is>
          <t>Mise en haute disponibilité (HA) des services critiques : LDAP (réplication maître-maître), base de données (réplication ou cluster), serveurs DNS internes</t>
        </is>
      </c>
      <c r="C36" s="10" t="inlineStr">
        <is>
          <t>R02</t>
        </is>
      </c>
      <c r="D36" s="10" t="inlineStr">
        <is>
          <t>DSI</t>
        </is>
      </c>
      <c r="E36" s="5" t="inlineStr">
        <is>
          <t>Complexité opérationnelle, double infrastructure</t>
        </is>
      </c>
      <c r="F36" s="3" t="inlineStr">
        <is>
          <t>+++</t>
        </is>
      </c>
      <c r="G36" s="10" t="inlineStr">
        <is>
          <t>30 j/h</t>
        </is>
      </c>
      <c r="H36" s="10" t="inlineStr">
        <is>
          <t>T0+18 mois</t>
        </is>
      </c>
      <c r="I36" s="3" t="inlineStr">
        <is>
          <t>P3</t>
        </is>
      </c>
      <c r="J36" s="10" t="inlineStr">
        <is>
          <t>À lancer</t>
        </is>
      </c>
    </row>
    <row r="37" ht="54" customHeight="1" s="70">
      <c r="A37" s="3" t="inlineStr">
        <is>
          <t>M26</t>
        </is>
      </c>
      <c r="B37" s="5" t="inlineStr">
        <is>
          <t>Procédure de réponse à incident (PRI) formalisée et testée : équipe de réponse, playbooks par type d'incident (rançongiciel, intrusion, fuite de données), communication de crise</t>
        </is>
      </c>
      <c r="C37" s="10" t="inlineStr">
        <is>
          <t>Tous</t>
        </is>
      </c>
      <c r="D37" s="10" t="inlineStr">
        <is>
          <t>RSSI</t>
        </is>
      </c>
      <c r="E37" s="5" t="inlineStr">
        <is>
          <t>Exercices de gestion de crise à organiser</t>
        </is>
      </c>
      <c r="F37" s="3" t="inlineStr">
        <is>
          <t>++</t>
        </is>
      </c>
      <c r="G37" s="10" t="inlineStr">
        <is>
          <t>20 j/h</t>
        </is>
      </c>
      <c r="H37" s="10" t="inlineStr">
        <is>
          <t>T0+9 mois</t>
        </is>
      </c>
      <c r="I37" s="3" t="inlineStr">
        <is>
          <t>P2</t>
        </is>
      </c>
      <c r="J37" s="10" t="inlineStr">
        <is>
          <t>À lancer</t>
        </is>
      </c>
    </row>
    <row r="39" ht="21.75" customHeight="1" s="70">
      <c r="A39" s="88" t="inlineStr">
        <is>
          <t>Statistiques du plan de traitement</t>
        </is>
      </c>
    </row>
    <row r="40" ht="21.75" customHeight="1" s="70">
      <c r="A40" s="106" t="inlineStr">
        <is>
          <t>Nombre total de mesures : 26</t>
        </is>
      </c>
    </row>
    <row r="41" ht="21.75" customHeight="1" s="70">
      <c r="A41" s="106" t="inlineStr">
        <is>
          <t>Mesures implémentées dans la maquette v2 (échéance T0+6 mois max) : 10</t>
        </is>
      </c>
    </row>
    <row r="42" ht="21.75" customHeight="1" s="70">
      <c r="A42" s="106" t="inlineStr">
        <is>
          <t>Mesures prioritaires P1 : 14</t>
        </is>
      </c>
    </row>
    <row r="43" ht="21.75" customHeight="1" s="70">
      <c r="A43" s="106" t="inlineStr">
        <is>
          <t>Répartition par catégorie : GOUVERNANCE : 6, PROTECTION : 10, DÉFENSE : 5, RÉSILIENCE : 5</t>
        </is>
      </c>
    </row>
  </sheetData>
  <mergeCells count="12">
    <mergeCell ref="A32:J32"/>
    <mergeCell ref="A1:J2"/>
    <mergeCell ref="A8:J8"/>
    <mergeCell ref="A6:J6"/>
    <mergeCell ref="A40:J40"/>
    <mergeCell ref="A39:J39"/>
    <mergeCell ref="A15:J15"/>
    <mergeCell ref="A4:J4"/>
    <mergeCell ref="A26:J26"/>
    <mergeCell ref="A43:J43"/>
    <mergeCell ref="A42:J42"/>
    <mergeCell ref="A41:J41"/>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F72"/>
  <sheetViews>
    <sheetView showGridLines="0" zoomScaleNormal="100" workbookViewId="0">
      <pane ySplit="3" topLeftCell="A61" activePane="bottomLeft" state="frozen"/>
      <selection pane="bottomLeft" activeCell="A1" sqref="A1:F2"/>
    </sheetView>
  </sheetViews>
  <sheetFormatPr baseColWidth="10" defaultColWidth="8.703125" defaultRowHeight="14.35"/>
  <cols>
    <col width="38.87890625" customWidth="1" style="70" min="1" max="1"/>
    <col width="25" customWidth="1" style="70" min="2" max="2"/>
    <col width="60" customWidth="1" style="70" min="3" max="3"/>
    <col width="12" customWidth="1" style="70" min="4" max="6"/>
  </cols>
  <sheetData>
    <row r="1" ht="25.5" customHeight="1" s="70">
      <c r="A1" s="76" t="inlineStr">
        <is>
          <t>A5.4 - Risques résiduels (fiches détaillées)</t>
        </is>
      </c>
    </row>
    <row r="2" ht="25.5" customHeight="1" s="70"/>
    <row r="4" ht="103.5" customHeight="1" s="70">
      <c r="A4" s="78" t="inlineStr">
        <is>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is>
      </c>
      <c r="B4" s="79" t="n"/>
      <c r="C4" s="79" t="n"/>
      <c r="D4" s="79" t="n"/>
      <c r="E4" s="79" t="n"/>
      <c r="F4" s="79" t="n"/>
    </row>
    <row r="8" ht="27.75" customHeight="1" s="70">
      <c r="A8" s="109" t="inlineStr">
        <is>
          <t>RR01 — Compromission des résultats académiques par un étudiant</t>
        </is>
      </c>
    </row>
    <row r="9" ht="79.5" customHeight="1" s="70">
      <c r="A9" s="46" t="inlineStr">
        <is>
          <t>Description :</t>
        </is>
      </c>
      <c r="B9" s="117" t="inlineStr">
        <is>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is>
      </c>
      <c r="C9" s="79" t="n"/>
      <c r="D9" s="79" t="n"/>
      <c r="E9" s="79" t="n"/>
      <c r="F9" s="94" t="n"/>
    </row>
    <row r="10" ht="73.5" customHeight="1" s="70">
      <c r="A10" s="46" t="inlineStr">
        <is>
          <t>Vulnérabilités résiduelles :</t>
        </is>
      </c>
      <c r="B10" s="117" t="inlineStr">
        <is>
          <t>• Persistance possible de credentials volés en cas de phishing réussi malgré MFA
• Risque d'ingénierie sociale sur les enseignants restant exposés
• Erreurs humaines dans la gestion des sessions Moodle (sessions partagées)</t>
        </is>
      </c>
      <c r="C10" s="79" t="n"/>
      <c r="D10" s="79" t="n"/>
      <c r="E10" s="79" t="n"/>
      <c r="F10" s="94" t="n"/>
    </row>
    <row r="11" ht="21.75" customHeight="1" s="70">
      <c r="A11" s="46" t="inlineStr">
        <is>
          <t>Événements redoutés concernés :</t>
        </is>
      </c>
      <c r="B11" s="127" t="inlineStr">
        <is>
          <t>ER03</t>
        </is>
      </c>
      <c r="C11" s="79" t="n"/>
      <c r="D11" s="79" t="n"/>
      <c r="E11" s="79" t="n"/>
      <c r="F11" s="94" t="n"/>
    </row>
    <row r="12" ht="39.75" customHeight="1" s="70">
      <c r="A12" s="46" t="inlineStr">
        <is>
          <t>Mesures de traitement appliquées :</t>
        </is>
      </c>
      <c r="B12" s="117" t="inlineStr">
        <is>
          <t>M07 Cloisonnement VLANs ; M08 LDAP anonyme + LDAPS ; M15 MFA ; M17 Logs centralisés ; M05 Sensibilisation phishing</t>
        </is>
      </c>
      <c r="C12" s="79" t="n"/>
      <c r="D12" s="79" t="n"/>
      <c r="E12" s="79" t="n"/>
      <c r="F12" s="94" t="n"/>
    </row>
    <row r="13" ht="21.75" customHeight="1" s="70">
      <c r="A13" s="46" t="inlineStr">
        <is>
          <t>Estimation :</t>
        </is>
      </c>
      <c r="B13" s="1" t="inlineStr">
        <is>
          <t>Indicateur</t>
        </is>
      </c>
      <c r="C13" s="1" t="inlineStr">
        <is>
          <t>Initial</t>
        </is>
      </c>
      <c r="D13" s="1" t="inlineStr">
        <is>
          <t>Résiduel</t>
        </is>
      </c>
      <c r="E13" s="115" t="inlineStr">
        <is>
          <t>Réduction</t>
        </is>
      </c>
      <c r="F13" s="94" t="n"/>
    </row>
    <row r="14" ht="21.75" customHeight="1" s="70">
      <c r="A14" s="48" t="n"/>
      <c r="B14" s="29" t="inlineStr">
        <is>
          <t>Gravité</t>
        </is>
      </c>
      <c r="C14" s="19" t="inlineStr">
        <is>
          <t>G3</t>
        </is>
      </c>
      <c r="D14" s="19" t="inlineStr">
        <is>
          <t>G3</t>
        </is>
      </c>
      <c r="E14" s="127" t="inlineStr">
        <is>
          <t>Aucune réduction</t>
        </is>
      </c>
      <c r="F14" s="94" t="n"/>
    </row>
    <row r="15" ht="21.75" customHeight="1" s="70">
      <c r="A15" s="48" t="n"/>
      <c r="B15" s="29" t="inlineStr">
        <is>
          <t>Vraisemblance</t>
        </is>
      </c>
      <c r="C15" s="19" t="inlineStr">
        <is>
          <t>V3</t>
        </is>
      </c>
      <c r="D15" s="22" t="inlineStr">
        <is>
          <t>V2</t>
        </is>
      </c>
      <c r="E15" s="127" t="inlineStr">
        <is>
          <t>−1</t>
        </is>
      </c>
      <c r="F15" s="94" t="n"/>
    </row>
    <row r="16" ht="21.75" customHeight="1" s="70">
      <c r="A16" s="48" t="n"/>
      <c r="B16" s="29" t="inlineStr">
        <is>
          <t>Niveau de risque</t>
        </is>
      </c>
      <c r="C16" s="22" t="inlineStr">
        <is>
          <t>Moyen (9)</t>
        </is>
      </c>
      <c r="D16" s="22" t="inlineStr">
        <is>
          <t>Moyen (6)</t>
        </is>
      </c>
      <c r="E16" s="127" t="inlineStr">
        <is>
          <t>−3 (33 %)</t>
        </is>
      </c>
      <c r="F16" s="94" t="n"/>
    </row>
    <row r="17" ht="39.75" customHeight="1" s="70">
      <c r="A17" s="46" t="inlineStr">
        <is>
          <t>Suivi du risque résiduel :</t>
        </is>
      </c>
      <c r="B17" s="117" t="inlineStr">
        <is>
          <t>Indicateur : nombre de tentatives de phishing simulé détectées par les enseignants. Revue : trimestrielle.</t>
        </is>
      </c>
      <c r="C17" s="79" t="n"/>
      <c r="D17" s="79" t="n"/>
      <c r="E17" s="79" t="n"/>
      <c r="F17" s="94" t="n"/>
    </row>
    <row r="19" ht="27.75" customHeight="1" s="70">
      <c r="A19" s="109" t="inlineStr">
        <is>
          <t>RR02 — Paralysie de l'établissement par rançongiciel</t>
        </is>
      </c>
    </row>
    <row r="20" ht="79.5" customHeight="1" s="70">
      <c r="A20" s="46" t="inlineStr">
        <is>
          <t>Description :</t>
        </is>
      </c>
      <c r="B20" s="117" t="inlineStr">
        <is>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is>
      </c>
      <c r="C20" s="79" t="n"/>
      <c r="D20" s="79" t="n"/>
      <c r="E20" s="79" t="n"/>
      <c r="F20" s="94" t="n"/>
    </row>
    <row r="21" ht="96" customHeight="1" s="70">
      <c r="A21" s="46" t="inlineStr">
        <is>
          <t>Vulnérabilités résiduelles :</t>
        </is>
      </c>
      <c r="B21" s="117" t="inlineStr">
        <is>
          <t>• Risque d'attaque 0-day non couverte par les signatures IDS/IPS
• Persistance possible d'attaques de phishing très ciblées (spear-phishing avancé)
• Durée de restauration depuis sauvegardes : RTO non encore validé
• Risque sur le périmètre étudiant non couvert par EDR</t>
        </is>
      </c>
      <c r="C21" s="79" t="n"/>
      <c r="D21" s="79" t="n"/>
      <c r="E21" s="79" t="n"/>
      <c r="F21" s="94" t="n"/>
    </row>
    <row r="22" ht="21.75" customHeight="1" s="70">
      <c r="A22" s="46" t="inlineStr">
        <is>
          <t>Événements redoutés concernés :</t>
        </is>
      </c>
      <c r="B22" s="127" t="inlineStr">
        <is>
          <t>ER06, ER04</t>
        </is>
      </c>
      <c r="C22" s="79" t="n"/>
      <c r="D22" s="79" t="n"/>
      <c r="E22" s="79" t="n"/>
      <c r="F22" s="94" t="n"/>
    </row>
    <row r="23" ht="39.75" customHeight="1" s="70">
      <c r="A23" s="46" t="inlineStr">
        <is>
          <t>Mesures de traitement appliquées :</t>
        </is>
      </c>
      <c r="B23" s="117" t="inlineStr">
        <is>
          <t>M07 Cloisonnement ; M10 Suppression NOPASSWD ; M15 MFA ; M17 Logs centralisés ; M18 IDS/IPS ; M19 SIEM ; M21 EDR ; M22 Sauvegardes immuables ; M23 Tests restauration ; M05 Sensibilisation ; M26 Procédure de réponse à incident</t>
        </is>
      </c>
      <c r="C23" s="79" t="n"/>
      <c r="D23" s="79" t="n"/>
      <c r="E23" s="79" t="n"/>
      <c r="F23" s="94" t="n"/>
    </row>
    <row r="24" ht="21.75" customHeight="1" s="70">
      <c r="A24" s="46" t="inlineStr">
        <is>
          <t>Estimation :</t>
        </is>
      </c>
      <c r="B24" s="1" t="inlineStr">
        <is>
          <t>Indicateur</t>
        </is>
      </c>
      <c r="C24" s="1" t="inlineStr">
        <is>
          <t>Initial</t>
        </is>
      </c>
      <c r="D24" s="1" t="inlineStr">
        <is>
          <t>Résiduel</t>
        </is>
      </c>
      <c r="E24" s="115" t="inlineStr">
        <is>
          <t>Réduction</t>
        </is>
      </c>
      <c r="F24" s="94" t="n"/>
    </row>
    <row r="25" ht="21.75" customHeight="1" s="70">
      <c r="A25" s="48" t="n"/>
      <c r="B25" s="29" t="inlineStr">
        <is>
          <t>Gravité</t>
        </is>
      </c>
      <c r="C25" s="16" t="inlineStr">
        <is>
          <t>G4</t>
        </is>
      </c>
      <c r="D25" s="19" t="inlineStr">
        <is>
          <t>G3</t>
        </is>
      </c>
      <c r="E25" s="127" t="inlineStr">
        <is>
          <t>−1</t>
        </is>
      </c>
      <c r="F25" s="94" t="n"/>
    </row>
    <row r="26" ht="21.75" customHeight="1" s="70">
      <c r="A26" s="48" t="n"/>
      <c r="B26" s="29" t="inlineStr">
        <is>
          <t>Vraisemblance</t>
        </is>
      </c>
      <c r="C26" s="16" t="inlineStr">
        <is>
          <t>V4</t>
        </is>
      </c>
      <c r="D26" s="22" t="inlineStr">
        <is>
          <t>V2</t>
        </is>
      </c>
      <c r="E26" s="127" t="inlineStr">
        <is>
          <t>−2</t>
        </is>
      </c>
      <c r="F26" s="94" t="n"/>
    </row>
    <row r="27" ht="21.75" customHeight="1" s="70">
      <c r="A27" s="48" t="n"/>
      <c r="B27" s="29" t="inlineStr">
        <is>
          <t>Niveau de risque</t>
        </is>
      </c>
      <c r="C27" s="16" t="inlineStr">
        <is>
          <t>Élevé (16)</t>
        </is>
      </c>
      <c r="D27" s="22" t="inlineStr">
        <is>
          <t>Moyen (6)</t>
        </is>
      </c>
      <c r="E27" s="127" t="inlineStr">
        <is>
          <t>−10 (62 %)</t>
        </is>
      </c>
      <c r="F27" s="94" t="n"/>
    </row>
    <row r="28" ht="39.75" customHeight="1" s="70">
      <c r="A28" s="46" t="inlineStr">
        <is>
          <t>Suivi du risque résiduel :</t>
        </is>
      </c>
      <c r="B28" s="117" t="inlineStr">
        <is>
          <t>Indicateur : RTO mesuré lors des tests de restauration semestriels (cible &lt; 24h). Revue : semestrielle.</t>
        </is>
      </c>
      <c r="C28" s="79" t="n"/>
      <c r="D28" s="79" t="n"/>
      <c r="E28" s="79" t="n"/>
      <c r="F28" s="94" t="n"/>
    </row>
    <row r="30" ht="27.75" customHeight="1" s="70">
      <c r="A30" s="109" t="inlineStr">
        <is>
          <t>RR03 — Exfiltration et revente des données personnelles</t>
        </is>
      </c>
    </row>
    <row r="31" ht="79.5" customHeight="1" s="70">
      <c r="A31" s="46" t="inlineStr">
        <is>
          <t>Description :</t>
        </is>
      </c>
      <c r="B31" s="117" t="inlineStr">
        <is>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is>
      </c>
      <c r="C31" s="79" t="n"/>
      <c r="D31" s="79" t="n"/>
      <c r="E31" s="79" t="n"/>
      <c r="F31" s="94" t="n"/>
    </row>
    <row r="32" ht="96" customHeight="1" s="70">
      <c r="A32" s="46" t="inlineStr">
        <is>
          <t>Vulnérabilités résiduelles :</t>
        </is>
      </c>
      <c r="B32" s="117" t="inlineStr">
        <is>
          <t>• Risque persistant d'exfiltration ciblée de petits volumes
• Faux positifs DLP pouvant masquer de réelles exfiltrations
• Risque sur les sauvegardes externalisées si compromises
• Risque sur les exports légitimes (vers ministère, partenaires)</t>
        </is>
      </c>
      <c r="C32" s="79" t="n"/>
      <c r="D32" s="79" t="n"/>
      <c r="E32" s="79" t="n"/>
      <c r="F32" s="94" t="n"/>
    </row>
    <row r="33" ht="21.75" customHeight="1" s="70">
      <c r="A33" s="46" t="inlineStr">
        <is>
          <t>Événements redoutés concernés :</t>
        </is>
      </c>
      <c r="B33" s="127" t="inlineStr">
        <is>
          <t>ER01</t>
        </is>
      </c>
      <c r="C33" s="79" t="n"/>
      <c r="D33" s="79" t="n"/>
      <c r="E33" s="79" t="n"/>
      <c r="F33" s="94" t="n"/>
    </row>
    <row r="34" ht="39.75" customHeight="1" s="70">
      <c r="A34" s="46" t="inlineStr">
        <is>
          <t>Mesures de traitement appliquées :</t>
        </is>
      </c>
      <c r="B34" s="117" t="inlineStr">
        <is>
          <t>M07 Cloisonnement ; M09 Hashs bcrypt ; M11 HTTPS/TLS ; M12 Restriction BDD ; M15 MFA ; M16 WAF ; M17 Logs centralisés ; M20 DLP ; M01 PSSI</t>
        </is>
      </c>
      <c r="C34" s="79" t="n"/>
      <c r="D34" s="79" t="n"/>
      <c r="E34" s="79" t="n"/>
      <c r="F34" s="94" t="n"/>
    </row>
    <row r="35" ht="21.75" customHeight="1" s="70">
      <c r="A35" s="46" t="inlineStr">
        <is>
          <t>Estimation :</t>
        </is>
      </c>
      <c r="B35" s="1" t="inlineStr">
        <is>
          <t>Indicateur</t>
        </is>
      </c>
      <c r="C35" s="1" t="inlineStr">
        <is>
          <t>Initial</t>
        </is>
      </c>
      <c r="D35" s="1" t="inlineStr">
        <is>
          <t>Résiduel</t>
        </is>
      </c>
      <c r="E35" s="115" t="inlineStr">
        <is>
          <t>Réduction</t>
        </is>
      </c>
      <c r="F35" s="94" t="n"/>
    </row>
    <row r="36" ht="21.75" customHeight="1" s="70">
      <c r="A36" s="48" t="n"/>
      <c r="B36" s="29" t="inlineStr">
        <is>
          <t>Gravité</t>
        </is>
      </c>
      <c r="C36" s="16" t="inlineStr">
        <is>
          <t>G4</t>
        </is>
      </c>
      <c r="D36" s="16" t="inlineStr">
        <is>
          <t>G4</t>
        </is>
      </c>
      <c r="E36" s="127" t="inlineStr">
        <is>
          <t>Aucune réduction</t>
        </is>
      </c>
      <c r="F36" s="94" t="n"/>
    </row>
    <row r="37" ht="21.75" customHeight="1" s="70">
      <c r="A37" s="48" t="n"/>
      <c r="B37" s="29" t="inlineStr">
        <is>
          <t>Vraisemblance</t>
        </is>
      </c>
      <c r="C37" s="19" t="inlineStr">
        <is>
          <t>V3</t>
        </is>
      </c>
      <c r="D37" s="22" t="inlineStr">
        <is>
          <t>V2</t>
        </is>
      </c>
      <c r="E37" s="127" t="inlineStr">
        <is>
          <t>−1</t>
        </is>
      </c>
      <c r="F37" s="94" t="n"/>
    </row>
    <row r="38" ht="21.75" customHeight="1" s="70">
      <c r="A38" s="48" t="n"/>
      <c r="B38" s="29" t="inlineStr">
        <is>
          <t>Niveau de risque</t>
        </is>
      </c>
      <c r="C38" s="16" t="inlineStr">
        <is>
          <t>Élevé (12)</t>
        </is>
      </c>
      <c r="D38" s="22" t="inlineStr">
        <is>
          <t>Moyen (8)</t>
        </is>
      </c>
      <c r="E38" s="127" t="inlineStr">
        <is>
          <t>−4 (33 %)</t>
        </is>
      </c>
      <c r="F38" s="94" t="n"/>
    </row>
    <row r="39" ht="39.75" customHeight="1" s="70">
      <c r="A39" s="46" t="inlineStr">
        <is>
          <t>Suivi du risque résiduel :</t>
        </is>
      </c>
      <c r="B39" s="117" t="inlineStr">
        <is>
          <t>Indicateur : nombre d'alertes DLP et taux de faux positifs. Revue : trimestrielle. Coordination avec DPO.</t>
        </is>
      </c>
      <c r="C39" s="79" t="n"/>
      <c r="D39" s="79" t="n"/>
      <c r="E39" s="79" t="n"/>
      <c r="F39" s="94" t="n"/>
    </row>
    <row r="41" ht="27.75" customHeight="1" s="70">
      <c r="A41" s="109" t="inlineStr">
        <is>
          <t>RR04 — Exfiltration du patrimoine scientifique par un acteur étatique</t>
        </is>
      </c>
    </row>
    <row r="42" ht="79.5" customHeight="1" s="70">
      <c r="A42" s="46" t="inlineStr">
        <is>
          <t>Description :</t>
        </is>
      </c>
      <c r="B42" s="117" t="inlineStr">
        <is>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is>
      </c>
      <c r="C42" s="79" t="n"/>
      <c r="D42" s="79" t="n"/>
      <c r="E42" s="79" t="n"/>
      <c r="F42" s="94" t="n"/>
    </row>
    <row r="43" ht="73.5" customHeight="1" s="70">
      <c r="A43" s="46" t="inlineStr">
        <is>
          <t>Vulnérabilités résiduelles :</t>
        </is>
      </c>
      <c r="B43" s="117" t="inlineStr">
        <is>
          <t>• Maturité cyber hétérogène des partenaires malgré les audits
• Risque persistant via doctorants en thèse partagée
• Risque de canal légitime utilisé pour l'exfiltration (mail externe vers comptes personnels)</t>
        </is>
      </c>
      <c r="C43" s="79" t="n"/>
      <c r="D43" s="79" t="n"/>
      <c r="E43" s="79" t="n"/>
      <c r="F43" s="94" t="n"/>
    </row>
    <row r="44" ht="21.75" customHeight="1" s="70">
      <c r="A44" s="46" t="inlineStr">
        <is>
          <t>Événements redoutés concernés :</t>
        </is>
      </c>
      <c r="B44" s="127" t="inlineStr">
        <is>
          <t>ER02</t>
        </is>
      </c>
      <c r="C44" s="79" t="n"/>
      <c r="D44" s="79" t="n"/>
      <c r="E44" s="79" t="n"/>
      <c r="F44" s="94" t="n"/>
    </row>
    <row r="45" ht="39.75" customHeight="1" s="70">
      <c r="A45" s="46" t="inlineStr">
        <is>
          <t>Mesures de traitement appliquées :</t>
        </is>
      </c>
      <c r="B45" s="117" t="inlineStr">
        <is>
          <t>M07 Cloisonnement ; M17 Logs centralisés ; M19 SIEM ; M20 DLP ; M06 Clauses cyber prestataires ; Mesures A3.4 écosystème</t>
        </is>
      </c>
      <c r="C45" s="79" t="n"/>
      <c r="D45" s="79" t="n"/>
      <c r="E45" s="79" t="n"/>
      <c r="F45" s="94" t="n"/>
    </row>
    <row r="46" ht="21.75" customHeight="1" s="70">
      <c r="A46" s="46" t="inlineStr">
        <is>
          <t>Estimation :</t>
        </is>
      </c>
      <c r="B46" s="1" t="inlineStr">
        <is>
          <t>Indicateur</t>
        </is>
      </c>
      <c r="C46" s="1" t="inlineStr">
        <is>
          <t>Initial</t>
        </is>
      </c>
      <c r="D46" s="1" t="inlineStr">
        <is>
          <t>Résiduel</t>
        </is>
      </c>
      <c r="E46" s="115" t="inlineStr">
        <is>
          <t>Réduction</t>
        </is>
      </c>
      <c r="F46" s="94" t="n"/>
    </row>
    <row r="47" ht="21.75" customHeight="1" s="70">
      <c r="A47" s="48" t="n"/>
      <c r="B47" s="29" t="inlineStr">
        <is>
          <t>Gravité</t>
        </is>
      </c>
      <c r="C47" s="19" t="inlineStr">
        <is>
          <t>G3</t>
        </is>
      </c>
      <c r="D47" s="19" t="inlineStr">
        <is>
          <t>G3</t>
        </is>
      </c>
      <c r="E47" s="127" t="inlineStr">
        <is>
          <t>Aucune réduction</t>
        </is>
      </c>
      <c r="F47" s="94" t="n"/>
    </row>
    <row r="48" ht="21.75" customHeight="1" s="70">
      <c r="A48" s="48" t="n"/>
      <c r="B48" s="29" t="inlineStr">
        <is>
          <t>Vraisemblance</t>
        </is>
      </c>
      <c r="C48" s="22" t="inlineStr">
        <is>
          <t>V2</t>
        </is>
      </c>
      <c r="D48" s="25" t="inlineStr">
        <is>
          <t>V1</t>
        </is>
      </c>
      <c r="E48" s="127" t="inlineStr">
        <is>
          <t>−1</t>
        </is>
      </c>
      <c r="F48" s="94" t="n"/>
    </row>
    <row r="49" ht="21.75" customHeight="1" s="70">
      <c r="A49" s="48" t="n"/>
      <c r="B49" s="29" t="inlineStr">
        <is>
          <t>Niveau de risque</t>
        </is>
      </c>
      <c r="C49" s="22" t="inlineStr">
        <is>
          <t>Moyen (6)</t>
        </is>
      </c>
      <c r="D49" s="25" t="inlineStr">
        <is>
          <t>Faible (3)</t>
        </is>
      </c>
      <c r="E49" s="127" t="inlineStr">
        <is>
          <t>−3 (50 %)</t>
        </is>
      </c>
      <c r="F49" s="94" t="n"/>
    </row>
    <row r="50" ht="39.75" customHeight="1" s="70">
      <c r="A50" s="46" t="inlineStr">
        <is>
          <t>Suivi du risque résiduel :</t>
        </is>
      </c>
      <c r="B50" s="117" t="inlineStr">
        <is>
          <t>Indicateur : nombre d'incidents signalés par les partenaires, résultats des audits annuels. Revue : annuelle, coordination directeur recherche.</t>
        </is>
      </c>
      <c r="C50" s="79" t="n"/>
      <c r="D50" s="79" t="n"/>
      <c r="E50" s="79" t="n"/>
      <c r="F50" s="94" t="n"/>
    </row>
    <row r="52" ht="27.75" customHeight="1" s="70">
      <c r="A52" s="109" t="inlineStr">
        <is>
          <t>RR05 — Détournement de la paie par un personnel</t>
        </is>
      </c>
    </row>
    <row r="53" ht="79.5" customHeight="1" s="70">
      <c r="A53" s="46" t="inlineStr">
        <is>
          <t>Description :</t>
        </is>
      </c>
      <c r="B53" s="117" t="inlineStr">
        <is>
          <t>Après mise en œuvre des mesures (MFA, journalisation des modifications RH, séparation des tâches, validation à 4 yeux sur les RIB), le risque résiduel devient faible. Le risque persistant porte sur la collusion entre personnels et sur les contournements organisationnels.</t>
        </is>
      </c>
      <c r="C53" s="79" t="n"/>
      <c r="D53" s="79" t="n"/>
      <c r="E53" s="79" t="n"/>
      <c r="F53" s="94" t="n"/>
    </row>
    <row r="54" ht="73.5" customHeight="1" s="70">
      <c r="A54" s="46" t="inlineStr">
        <is>
          <t>Vulnérabilités résiduelles :</t>
        </is>
      </c>
      <c r="B54" s="117" t="inlineStr">
        <is>
          <t>• Risque de collusion entre deux personnels ayant des droits différents
• Risque social engineering du support DSI pour reset de mot de passe
• Risque sur les comptes temporaires (CDD, stagiaires)</t>
        </is>
      </c>
      <c r="C54" s="79" t="n"/>
      <c r="D54" s="79" t="n"/>
      <c r="E54" s="79" t="n"/>
      <c r="F54" s="94" t="n"/>
    </row>
    <row r="55" ht="21.75" customHeight="1" s="70">
      <c r="A55" s="46" t="inlineStr">
        <is>
          <t>Événements redoutés concernés :</t>
        </is>
      </c>
      <c r="B55" s="127" t="inlineStr">
        <is>
          <t>ER05</t>
        </is>
      </c>
      <c r="C55" s="79" t="n"/>
      <c r="D55" s="79" t="n"/>
      <c r="E55" s="79" t="n"/>
      <c r="F55" s="94" t="n"/>
    </row>
    <row r="56" ht="39.75" customHeight="1" s="70">
      <c r="A56" s="46" t="inlineStr">
        <is>
          <t>Mesures de traitement appliquées :</t>
        </is>
      </c>
      <c r="B56" s="117" t="inlineStr">
        <is>
          <t>M02 Révocation comptes ; M09 Hashs bcrypt ; M11 HTTPS ; M12 Restriction BDD ; M15 MFA ; M17 Logs centralisés ; M01 PSSI</t>
        </is>
      </c>
      <c r="C56" s="79" t="n"/>
      <c r="D56" s="79" t="n"/>
      <c r="E56" s="79" t="n"/>
      <c r="F56" s="94" t="n"/>
    </row>
    <row r="57" ht="21.75" customHeight="1" s="70">
      <c r="A57" s="46" t="inlineStr">
        <is>
          <t>Estimation :</t>
        </is>
      </c>
      <c r="B57" s="1" t="inlineStr">
        <is>
          <t>Indicateur</t>
        </is>
      </c>
      <c r="C57" s="1" t="inlineStr">
        <is>
          <t>Initial</t>
        </is>
      </c>
      <c r="D57" s="1" t="inlineStr">
        <is>
          <t>Résiduel</t>
        </is>
      </c>
      <c r="E57" s="115" t="inlineStr">
        <is>
          <t>Réduction</t>
        </is>
      </c>
      <c r="F57" s="94" t="n"/>
    </row>
    <row r="58" ht="21.75" customHeight="1" s="70">
      <c r="A58" s="48" t="n"/>
      <c r="B58" s="29" t="inlineStr">
        <is>
          <t>Gravité</t>
        </is>
      </c>
      <c r="C58" s="19" t="inlineStr">
        <is>
          <t>G3</t>
        </is>
      </c>
      <c r="D58" s="19" t="inlineStr">
        <is>
          <t>G3</t>
        </is>
      </c>
      <c r="E58" s="127" t="inlineStr">
        <is>
          <t>Aucune réduction</t>
        </is>
      </c>
      <c r="F58" s="94" t="n"/>
    </row>
    <row r="59" ht="21.75" customHeight="1" s="70">
      <c r="A59" s="48" t="n"/>
      <c r="B59" s="29" t="inlineStr">
        <is>
          <t>Vraisemblance</t>
        </is>
      </c>
      <c r="C59" s="22" t="inlineStr">
        <is>
          <t>V2</t>
        </is>
      </c>
      <c r="D59" s="25" t="inlineStr">
        <is>
          <t>V1</t>
        </is>
      </c>
      <c r="E59" s="127" t="inlineStr">
        <is>
          <t>−1</t>
        </is>
      </c>
      <c r="F59" s="94" t="n"/>
    </row>
    <row r="60" ht="21.75" customHeight="1" s="70">
      <c r="A60" s="48" t="n"/>
      <c r="B60" s="29" t="inlineStr">
        <is>
          <t>Niveau de risque</t>
        </is>
      </c>
      <c r="C60" s="22" t="inlineStr">
        <is>
          <t>Moyen (6)</t>
        </is>
      </c>
      <c r="D60" s="25" t="inlineStr">
        <is>
          <t>Faible (3)</t>
        </is>
      </c>
      <c r="E60" s="127" t="inlineStr">
        <is>
          <t>−3 (50 %)</t>
        </is>
      </c>
      <c r="F60" s="94" t="n"/>
    </row>
    <row r="61" ht="39.75" customHeight="1" s="70">
      <c r="A61" s="46" t="inlineStr">
        <is>
          <t>Suivi du risque résiduel :</t>
        </is>
      </c>
      <c r="B61" s="117" t="inlineStr">
        <is>
          <t>Indicateur : revue trimestrielle des comptes RH actifs, audit annuel des modifications de RIB. Revue : trimestrielle.</t>
        </is>
      </c>
      <c r="C61" s="79" t="n"/>
      <c r="D61" s="79" t="n"/>
      <c r="E61" s="79" t="n"/>
      <c r="F61" s="94" t="n"/>
    </row>
    <row r="63" ht="27.75" customHeight="1" s="70">
      <c r="A63" s="109" t="inlineStr">
        <is>
          <t>RR06 — Destruction de données par vengeance</t>
        </is>
      </c>
    </row>
    <row r="64" ht="79.5" customHeight="1" s="70">
      <c r="A64" s="46" t="inlineStr">
        <is>
          <t>Description :</t>
        </is>
      </c>
      <c r="B64" s="117" t="inlineStr">
        <is>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is>
      </c>
      <c r="C64" s="79" t="n"/>
      <c r="D64" s="79" t="n"/>
      <c r="E64" s="79" t="n"/>
      <c r="F64" s="94" t="n"/>
    </row>
    <row r="65" ht="73.5" customHeight="1" s="70">
      <c r="A65" s="46" t="inlineStr">
        <is>
          <t>Vulnérabilités résiduelles :</t>
        </is>
      </c>
      <c r="B65" s="117" t="inlineStr">
        <is>
          <t>• Délai de détection entre l'acte et son investigation (durant emploi actif)
• Risque sur les données non couvertes par les sauvegardes immuables
• Risque persistant sur les comptes très privilégiés (admin DSI)</t>
        </is>
      </c>
      <c r="C65" s="79" t="n"/>
      <c r="D65" s="79" t="n"/>
      <c r="E65" s="79" t="n"/>
      <c r="F65" s="94" t="n"/>
    </row>
    <row r="66" ht="21.75" customHeight="1" s="70">
      <c r="A66" s="46" t="inlineStr">
        <is>
          <t>Événements redoutés concernés :</t>
        </is>
      </c>
      <c r="B66" s="127" t="inlineStr">
        <is>
          <t>ER05, ER09</t>
        </is>
      </c>
      <c r="C66" s="79" t="n"/>
      <c r="D66" s="79" t="n"/>
      <c r="E66" s="79" t="n"/>
      <c r="F66" s="94" t="n"/>
    </row>
    <row r="67" ht="39.75" customHeight="1" s="70">
      <c r="A67" s="46" t="inlineStr">
        <is>
          <t>Mesures de traitement appliquées :</t>
        </is>
      </c>
      <c r="B67" s="117" t="inlineStr">
        <is>
          <t>M02 Révocation comptes ; M10 Suppression NOPASSWD ; M14 Comptes individuels VPN ; M17 Logs centralisés (immuables) ; M22 Sauvegardes immuables ; M24 Snapshots automatiques</t>
        </is>
      </c>
      <c r="C67" s="79" t="n"/>
      <c r="D67" s="79" t="n"/>
      <c r="E67" s="79" t="n"/>
      <c r="F67" s="94" t="n"/>
    </row>
    <row r="68" ht="21.75" customHeight="1" s="70">
      <c r="A68" s="46" t="inlineStr">
        <is>
          <t>Estimation :</t>
        </is>
      </c>
      <c r="B68" s="1" t="inlineStr">
        <is>
          <t>Indicateur</t>
        </is>
      </c>
      <c r="C68" s="1" t="inlineStr">
        <is>
          <t>Initial</t>
        </is>
      </c>
      <c r="D68" s="1" t="inlineStr">
        <is>
          <t>Résiduel</t>
        </is>
      </c>
      <c r="E68" s="115" t="inlineStr">
        <is>
          <t>Réduction</t>
        </is>
      </c>
      <c r="F68" s="94" t="n"/>
    </row>
    <row r="69" ht="21.75" customHeight="1" s="70">
      <c r="A69" s="48" t="n"/>
      <c r="B69" s="29" t="inlineStr">
        <is>
          <t>Gravité</t>
        </is>
      </c>
      <c r="C69" s="19" t="inlineStr">
        <is>
          <t>G3</t>
        </is>
      </c>
      <c r="D69" s="22" t="inlineStr">
        <is>
          <t>G2</t>
        </is>
      </c>
      <c r="E69" s="127" t="inlineStr">
        <is>
          <t>−1</t>
        </is>
      </c>
      <c r="F69" s="94" t="n"/>
    </row>
    <row r="70" ht="21.75" customHeight="1" s="70">
      <c r="A70" s="48" t="n"/>
      <c r="B70" s="29" t="inlineStr">
        <is>
          <t>Vraisemblance</t>
        </is>
      </c>
      <c r="C70" s="22" t="inlineStr">
        <is>
          <t>V2</t>
        </is>
      </c>
      <c r="D70" s="25" t="inlineStr">
        <is>
          <t>V1</t>
        </is>
      </c>
      <c r="E70" s="127" t="inlineStr">
        <is>
          <t>−1</t>
        </is>
      </c>
      <c r="F70" s="94" t="n"/>
    </row>
    <row r="71" ht="21.75" customHeight="1" s="70">
      <c r="A71" s="48" t="n"/>
      <c r="B71" s="29" t="inlineStr">
        <is>
          <t>Niveau de risque</t>
        </is>
      </c>
      <c r="C71" s="22" t="inlineStr">
        <is>
          <t>Moyen (6)</t>
        </is>
      </c>
      <c r="D71" s="25" t="inlineStr">
        <is>
          <t>Faible (2)</t>
        </is>
      </c>
      <c r="E71" s="127" t="inlineStr">
        <is>
          <t>−4 (67 %)</t>
        </is>
      </c>
      <c r="F71" s="94" t="n"/>
    </row>
    <row r="72" ht="39.75" customHeight="1" s="70">
      <c r="A72" s="46" t="inlineStr">
        <is>
          <t>Suivi du risque résiduel :</t>
        </is>
      </c>
      <c r="B72" s="117" t="inlineStr">
        <is>
          <t>Indicateur : délai moyen de révocation après départ (cible &lt; 24h), nombre d'alertes sur comptes admin. Revue : trimestrielle.</t>
        </is>
      </c>
      <c r="C72" s="79" t="n"/>
      <c r="D72" s="79" t="n"/>
      <c r="E72" s="79" t="n"/>
      <c r="F72" s="94" t="n"/>
    </row>
  </sheetData>
  <mergeCells count="62">
    <mergeCell ref="A41:F41"/>
    <mergeCell ref="B54:F54"/>
    <mergeCell ref="E68:F68"/>
    <mergeCell ref="E24:F24"/>
    <mergeCell ref="B72:F72"/>
    <mergeCell ref="E71:F71"/>
    <mergeCell ref="B66:F66"/>
    <mergeCell ref="B31:F31"/>
    <mergeCell ref="E14:F14"/>
    <mergeCell ref="B22:F22"/>
    <mergeCell ref="E48:F48"/>
    <mergeCell ref="B56:F56"/>
    <mergeCell ref="B21:F21"/>
    <mergeCell ref="E35:F35"/>
    <mergeCell ref="B43:F43"/>
    <mergeCell ref="B12:F12"/>
    <mergeCell ref="B39:F39"/>
    <mergeCell ref="E38:F38"/>
    <mergeCell ref="B11:F11"/>
    <mergeCell ref="B42:F42"/>
    <mergeCell ref="A1:F2"/>
    <mergeCell ref="A8:F8"/>
    <mergeCell ref="B67:F67"/>
    <mergeCell ref="E13:F13"/>
    <mergeCell ref="E69:F69"/>
    <mergeCell ref="B23:F23"/>
    <mergeCell ref="A4:F4"/>
    <mergeCell ref="B61:F61"/>
    <mergeCell ref="E60:F60"/>
    <mergeCell ref="B17:F17"/>
    <mergeCell ref="B44:F44"/>
    <mergeCell ref="B53:F53"/>
    <mergeCell ref="E59:F59"/>
    <mergeCell ref="A52:F52"/>
    <mergeCell ref="A63:F63"/>
    <mergeCell ref="E46:F46"/>
    <mergeCell ref="B34:F34"/>
    <mergeCell ref="A19:F19"/>
    <mergeCell ref="B10:F10"/>
    <mergeCell ref="E15:F15"/>
    <mergeCell ref="B28:F28"/>
    <mergeCell ref="E49:F49"/>
    <mergeCell ref="E27:F27"/>
    <mergeCell ref="E36:F36"/>
    <mergeCell ref="E26:F26"/>
    <mergeCell ref="A30:F30"/>
    <mergeCell ref="E70:F70"/>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D39"/>
  <sheetViews>
    <sheetView showGridLines="0" zoomScaleNormal="100" workbookViewId="0">
      <pane ySplit="3" topLeftCell="A28" activePane="bottomLeft" state="frozen"/>
      <selection pane="bottomLeft" activeCell="A1" sqref="A1:D2"/>
    </sheetView>
  </sheetViews>
  <sheetFormatPr baseColWidth="10" defaultColWidth="8.703125" defaultRowHeight="14.35"/>
  <cols>
    <col width="25" customWidth="1" style="70" min="1" max="1"/>
    <col width="30" customWidth="1" style="70" min="2" max="2"/>
    <col width="18" customWidth="1" style="70" min="3" max="3"/>
    <col width="50" customWidth="1" style="70" min="4" max="4"/>
  </cols>
  <sheetData>
    <row r="1" ht="25.5" customHeight="1" s="70">
      <c r="A1" s="76" t="inlineStr">
        <is>
          <t>A5.5 - Cadre de suivi et de surveillance des risques</t>
        </is>
      </c>
    </row>
    <row r="2" ht="25.5" customHeight="1" s="70"/>
    <row r="4" ht="72" customHeight="1" s="70">
      <c r="A4" s="78" t="inlineStr">
        <is>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is>
      </c>
      <c r="B4" s="79" t="n"/>
      <c r="C4" s="79" t="n"/>
      <c r="D4" s="79" t="n"/>
    </row>
    <row r="6" ht="21.75" customHeight="1" s="70">
      <c r="A6" s="88" t="inlineStr">
        <is>
          <t>Indicateurs de pilotage par catégorie</t>
        </is>
      </c>
    </row>
    <row r="7" ht="27.75" customHeight="1" s="70">
      <c r="A7" s="1" t="inlineStr">
        <is>
          <t>Catégorie</t>
        </is>
      </c>
      <c r="B7" s="1" t="inlineStr">
        <is>
          <t>Indicateur</t>
        </is>
      </c>
      <c r="C7" s="1" t="inlineStr">
        <is>
          <t>Fréquence</t>
        </is>
      </c>
      <c r="D7" s="1" t="inlineStr">
        <is>
          <t>Cible et seuil d'alerte</t>
        </is>
      </c>
    </row>
    <row r="8" ht="31.5" customHeight="1" s="70">
      <c r="A8" s="49" t="inlineStr">
        <is>
          <t>Gouvernance</t>
        </is>
      </c>
      <c r="B8" s="47" t="inlineStr">
        <is>
          <t>Taux de tenue des comités de pilotage prévus</t>
        </is>
      </c>
      <c r="C8" s="47" t="inlineStr">
        <is>
          <t>Mensuelle</t>
        </is>
      </c>
      <c r="D8" s="5" t="inlineStr">
        <is>
          <t>Cible : 100 %. Alerte : &lt; 80 %.</t>
        </is>
      </c>
    </row>
    <row r="9" ht="31.5" customHeight="1" s="70">
      <c r="A9" s="49" t="inlineStr">
        <is>
          <t>Gouvernance</t>
        </is>
      </c>
      <c r="B9" s="50" t="inlineStr">
        <is>
          <t>Pourcentage de mesures du plan en statut « Terminée »</t>
        </is>
      </c>
      <c r="C9" s="50" t="inlineStr">
        <is>
          <t>Mensuelle</t>
        </is>
      </c>
      <c r="D9" s="8" t="inlineStr">
        <is>
          <t>Cible : 100 % à T0+24 mois. Alerte : retard &gt; 3 mois.</t>
        </is>
      </c>
    </row>
    <row r="10" ht="31.5" customHeight="1" s="70">
      <c r="A10" s="49" t="inlineStr">
        <is>
          <t>Gouvernance</t>
        </is>
      </c>
      <c r="B10" s="47" t="inlineStr">
        <is>
          <t>Budget consommé vs alloué par mesure</t>
        </is>
      </c>
      <c r="C10" s="47" t="inlineStr">
        <is>
          <t>Trimestrielle</t>
        </is>
      </c>
      <c r="D10" s="5" t="inlineStr">
        <is>
          <t>Alerte : &gt; 110 % du budget initial.</t>
        </is>
      </c>
    </row>
    <row r="11" ht="31.5" customHeight="1" s="70">
      <c r="A11" s="33" t="inlineStr">
        <is>
          <t>Protection</t>
        </is>
      </c>
      <c r="B11" s="50" t="inlineStr">
        <is>
          <t>Taux de comptes administrateurs avec MFA actif</t>
        </is>
      </c>
      <c r="C11" s="50" t="inlineStr">
        <is>
          <t>Mensuelle</t>
        </is>
      </c>
      <c r="D11" s="8" t="inlineStr">
        <is>
          <t>Cible : 100 %. Alerte : &lt; 95 %.</t>
        </is>
      </c>
    </row>
    <row r="12" ht="31.5" customHeight="1" s="70">
      <c r="A12" s="33" t="inlineStr">
        <is>
          <t>Protection</t>
        </is>
      </c>
      <c r="B12" s="47" t="inlineStr">
        <is>
          <t>Taux de comptes utilisateurs avec MFA actif</t>
        </is>
      </c>
      <c r="C12" s="47" t="inlineStr">
        <is>
          <t>Trimestrielle</t>
        </is>
      </c>
      <c r="D12" s="5" t="inlineStr">
        <is>
          <t>Cible : 80 % à T0+12 mois. Alerte : &lt; 50 %.</t>
        </is>
      </c>
    </row>
    <row r="13" ht="31.5" customHeight="1" s="70">
      <c r="A13" s="33" t="inlineStr">
        <is>
          <t>Protection</t>
        </is>
      </c>
      <c r="B13" s="50" t="inlineStr">
        <is>
          <t>Pourcentage de hashs SHA1 résiduels dans uc-db-rh</t>
        </is>
      </c>
      <c r="C13" s="50" t="inlineStr">
        <is>
          <t>Mensuelle</t>
        </is>
      </c>
      <c r="D13" s="8" t="inlineStr">
        <is>
          <t>Cible : 0 %. Alerte : &gt; 5 %.</t>
        </is>
      </c>
    </row>
    <row r="14" ht="31.5" customHeight="1" s="70">
      <c r="A14" s="33" t="inlineStr">
        <is>
          <t>Protection</t>
        </is>
      </c>
      <c r="B14" s="47" t="inlineStr">
        <is>
          <t>Nombre de bind LDAP anonymes encore détectés</t>
        </is>
      </c>
      <c r="C14" s="47" t="inlineStr">
        <is>
          <t>Mensuelle</t>
        </is>
      </c>
      <c r="D14" s="5" t="inlineStr">
        <is>
          <t>Cible : 0. Alerte : &gt; 0.</t>
        </is>
      </c>
    </row>
    <row r="15" ht="31.5" customHeight="1" s="70">
      <c r="A15" s="51" t="inlineStr">
        <is>
          <t>Défense</t>
        </is>
      </c>
      <c r="B15" s="50" t="inlineStr">
        <is>
          <t>Nombre d'alertes SIEM / mois (volumétrie)</t>
        </is>
      </c>
      <c r="C15" s="50" t="inlineStr">
        <is>
          <t>Mensuelle</t>
        </is>
      </c>
      <c r="D15" s="8" t="inlineStr">
        <is>
          <t>Suivi de tendance. Alerte : variation &gt; 50 %.</t>
        </is>
      </c>
    </row>
    <row r="16" ht="31.5" customHeight="1" s="70">
      <c r="A16" s="51" t="inlineStr">
        <is>
          <t>Défense</t>
        </is>
      </c>
      <c r="B16" s="47" t="inlineStr">
        <is>
          <t>Temps moyen de détection d'un incident (MTTD)</t>
        </is>
      </c>
      <c r="C16" s="47" t="inlineStr">
        <is>
          <t>Trimestrielle</t>
        </is>
      </c>
      <c r="D16" s="5" t="inlineStr">
        <is>
          <t>Cible : &lt; 4 heures pour incident critique.</t>
        </is>
      </c>
    </row>
    <row r="17" ht="31.5" customHeight="1" s="70">
      <c r="A17" s="51" t="inlineStr">
        <is>
          <t>Défense</t>
        </is>
      </c>
      <c r="B17" s="50" t="inlineStr">
        <is>
          <t>Pourcentage de logs collectés par rapport au périmètre</t>
        </is>
      </c>
      <c r="C17" s="50" t="inlineStr">
        <is>
          <t>Mensuelle</t>
        </is>
      </c>
      <c r="D17" s="8" t="inlineStr">
        <is>
          <t>Cible : 100 %. Alerte : &lt; 90 %.</t>
        </is>
      </c>
    </row>
    <row r="18" ht="31.5" customHeight="1" s="70">
      <c r="A18" s="51" t="inlineStr">
        <is>
          <t>Défense</t>
        </is>
      </c>
      <c r="B18" s="47" t="inlineStr">
        <is>
          <t>Nombre de campagnes de phishing simulées et taux de clic</t>
        </is>
      </c>
      <c r="C18" s="47" t="inlineStr">
        <is>
          <t>Trimestrielle</t>
        </is>
      </c>
      <c r="D18" s="5" t="inlineStr">
        <is>
          <t>Cible : taux de clic &lt; 5 %. Alerte : &gt; 15 %.</t>
        </is>
      </c>
    </row>
    <row r="19" ht="31.5" customHeight="1" s="70">
      <c r="A19" s="52" t="inlineStr">
        <is>
          <t>Résilience</t>
        </is>
      </c>
      <c r="B19" s="50" t="inlineStr">
        <is>
          <t>Succès des tests de restauration (RTO mesuré)</t>
        </is>
      </c>
      <c r="C19" s="50" t="inlineStr">
        <is>
          <t>Semestrielle</t>
        </is>
      </c>
      <c r="D19" s="8" t="inlineStr">
        <is>
          <t>Cible RTO : &lt; 24 h pour services critiques. Alerte : &gt; 48 h.</t>
        </is>
      </c>
    </row>
    <row r="20" ht="31.5" customHeight="1" s="70">
      <c r="A20" s="52" t="inlineStr">
        <is>
          <t>Résilience</t>
        </is>
      </c>
      <c r="B20" s="47" t="inlineStr">
        <is>
          <t>Vérification d'intégrité des sauvegardes immuables</t>
        </is>
      </c>
      <c r="C20" s="47" t="inlineStr">
        <is>
          <t>Hebdomadaire</t>
        </is>
      </c>
      <c r="D20" s="5" t="inlineStr">
        <is>
          <t>Cible : 100 % des sauvegardes vérifiées. Alerte : échec &gt; 1 par mois.</t>
        </is>
      </c>
    </row>
    <row r="21" ht="31.5" customHeight="1" s="70">
      <c r="A21" s="52" t="inlineStr">
        <is>
          <t>Résilience</t>
        </is>
      </c>
      <c r="B21" s="50" t="inlineStr">
        <is>
          <t>Délai de révocation des comptes après départ</t>
        </is>
      </c>
      <c r="C21" s="50" t="inlineStr">
        <is>
          <t>Mensuelle</t>
        </is>
      </c>
      <c r="D21" s="8" t="inlineStr">
        <is>
          <t>Cible : &lt; 24 h. Alerte : &gt; 72 h.</t>
        </is>
      </c>
    </row>
    <row r="24" ht="21.75" customHeight="1" s="70">
      <c r="A24" s="88" t="inlineStr">
        <is>
          <t>Organisation des comités et cycle de revue</t>
        </is>
      </c>
    </row>
    <row r="25" ht="27.75" customHeight="1" s="70">
      <c r="A25" s="1" t="inlineStr">
        <is>
          <t>Instance</t>
        </is>
      </c>
      <c r="B25" s="1" t="inlineStr">
        <is>
          <t>Composition</t>
        </is>
      </c>
      <c r="C25" s="1" t="inlineStr">
        <is>
          <t>Fréquence</t>
        </is>
      </c>
      <c r="D25" s="1" t="inlineStr">
        <is>
          <t>Objet et livrables</t>
        </is>
      </c>
    </row>
    <row r="26" ht="69.75" customHeight="1" s="70">
      <c r="A26" s="29" t="inlineStr">
        <is>
          <t>Comité de pilotage SSI (COPIL)</t>
        </is>
      </c>
      <c r="B26" s="47" t="inlineStr">
        <is>
          <t>Direction, RSSI, DSI, représentant Métiers</t>
        </is>
      </c>
      <c r="C26" s="47" t="inlineStr">
        <is>
          <t>Trimestrielle (T0+3, T0+6, T0+9 mois) puis semestrielle en croisière</t>
        </is>
      </c>
      <c r="D26" s="5" t="inlineStr">
        <is>
          <t>Pilotage stratégique du plan de traitement, validation des arbitrages, présentation de l'avancement à la Direction, validation des évolutions de risque.</t>
        </is>
      </c>
    </row>
    <row r="27" ht="69.75" customHeight="1" s="70">
      <c r="A27" s="53" t="inlineStr">
        <is>
          <t>Comité opérationnel SSI</t>
        </is>
      </c>
      <c r="B27" s="50" t="inlineStr">
        <is>
          <t>RSSI, DSI, équipe sécurité opérationnelle</t>
        </is>
      </c>
      <c r="C27" s="50" t="inlineStr">
        <is>
          <t>Mensuelle</t>
        </is>
      </c>
      <c r="D27" s="8" t="inlineStr">
        <is>
          <t>Suivi opérationnel des mesures, des indicateurs, des incidents, des nouvelles vulnérabilités, des écarts au plan.</t>
        </is>
      </c>
    </row>
    <row r="28" ht="69.75" customHeight="1" s="70">
      <c r="A28" s="29" t="inlineStr">
        <is>
          <t>Revue annuelle des risques</t>
        </is>
      </c>
      <c r="B28" s="47" t="inlineStr">
        <is>
          <t>Direction, RSSI, DSI, DPO, Direction Juridique, représentants Métiers</t>
        </is>
      </c>
      <c r="C28" s="47" t="inlineStr">
        <is>
          <t>Annuelle (cycle stratégique)</t>
        </is>
      </c>
      <c r="D28" s="5" t="inlineStr">
        <is>
          <t>Révision complète de l'analyse de risque : missions, scénarios, écosystème. Décision de mise à jour de l'étude EBIOS RM si nécessaire.</t>
        </is>
      </c>
    </row>
    <row r="29" ht="69.75" customHeight="1" s="70">
      <c r="A29" s="53" t="inlineStr">
        <is>
          <t>Commission d'homologation</t>
        </is>
      </c>
      <c r="B29" s="50" t="inlineStr">
        <is>
          <t>Direction, RSSI, DSI, DPO, autorité d'homologation</t>
        </is>
      </c>
      <c r="C29" s="50" t="inlineStr">
        <is>
          <t>Tous les 3 ans ou en cas d'évolution majeure</t>
        </is>
      </c>
      <c r="D29" s="8" t="inlineStr">
        <is>
          <t>Décision formelle d'homologation du SI, validation de l'acceptabilité des risques résiduels.</t>
        </is>
      </c>
    </row>
    <row r="31" ht="21.75" customHeight="1" s="70">
      <c r="A31" s="88" t="inlineStr">
        <is>
          <t>Déclencheurs de mise à jour de l'analyse de risque</t>
        </is>
      </c>
    </row>
    <row r="32" ht="27.75" customHeight="1" s="70">
      <c r="A32" s="1" t="inlineStr">
        <is>
          <t>Catégorie</t>
        </is>
      </c>
      <c r="B32" s="1" t="inlineStr">
        <is>
          <t>Déclencheur</t>
        </is>
      </c>
      <c r="C32" s="1" t="inlineStr">
        <is>
          <t>Responsable veille</t>
        </is>
      </c>
      <c r="D32" s="1" t="inlineStr">
        <is>
          <t>Action déclenchée</t>
        </is>
      </c>
    </row>
    <row r="33" ht="55.5" customHeight="1" s="70">
      <c r="A33" s="29" t="inlineStr">
        <is>
          <t>Menace cyber</t>
        </is>
      </c>
      <c r="B33" s="47" t="inlineStr">
        <is>
          <t>Apparition d'une CVE majeure (CVSS ≥ 9) sur un bien support</t>
        </is>
      </c>
      <c r="C33" s="47" t="inlineStr">
        <is>
          <t>DSI / RSSI</t>
        </is>
      </c>
      <c r="D33" s="5" t="inlineStr">
        <is>
          <t>Évaluation immédiate de l'exposition, application du correctif sous 7 jours, revue du plan.</t>
        </is>
      </c>
    </row>
    <row r="34" ht="55.5" customHeight="1" s="70">
      <c r="A34" s="53" t="inlineStr">
        <is>
          <t>Menace cyber</t>
        </is>
      </c>
      <c r="B34" s="50" t="inlineStr">
        <is>
          <t>Nouvelle vague d'attaques sectorielles (rançongiciels sur l'ESR)</t>
        </is>
      </c>
      <c r="C34" s="50" t="inlineStr">
        <is>
          <t>RSSI / CERT-FR</t>
        </is>
      </c>
      <c r="D34" s="8" t="inlineStr">
        <is>
          <t>Réévaluation de la vraisemblance des SO concernés, sensibilisation renforcée.</t>
        </is>
      </c>
    </row>
    <row r="35" ht="55.5" customHeight="1" s="70">
      <c r="A35" s="29" t="inlineStr">
        <is>
          <t>Réglementation</t>
        </is>
      </c>
      <c r="B35" s="47" t="inlineStr">
        <is>
          <t>Évolution RGPD, directive NIS 2, exigences ANSSI</t>
        </is>
      </c>
      <c r="C35" s="47" t="inlineStr">
        <is>
          <t>DPO / Juridique</t>
        </is>
      </c>
      <c r="D35" s="5" t="inlineStr">
        <is>
          <t>Mise à jour des mesures organisationnelles, revue de la PSSI.</t>
        </is>
      </c>
    </row>
    <row r="36" ht="55.5" customHeight="1" s="70">
      <c r="A36" s="53" t="inlineStr">
        <is>
          <t>Architecture</t>
        </is>
      </c>
      <c r="B36" s="50" t="inlineStr">
        <is>
          <t>Évolution majeure de l'architecture (nouveau service, migration)</t>
        </is>
      </c>
      <c r="C36" s="50" t="inlineStr">
        <is>
          <t>DSI</t>
        </is>
      </c>
      <c r="D36" s="8" t="inlineStr">
        <is>
          <t>Mise à jour des biens supports A1.2, réévaluation des scénarios concernés.</t>
        </is>
      </c>
    </row>
    <row r="37" ht="55.5" customHeight="1" s="70">
      <c r="A37" s="29" t="inlineStr">
        <is>
          <t>Écosystème</t>
        </is>
      </c>
      <c r="B37" s="47" t="inlineStr">
        <is>
          <t>Nouveau partenaire ou prestataire, changement de prestataire</t>
        </is>
      </c>
      <c r="C37" s="47" t="inlineStr">
        <is>
          <t>RSSI / Achats</t>
        </is>
      </c>
      <c r="D37" s="5" t="inlineStr">
        <is>
          <t>Mise à jour de la cartographie A3.2, audit cyber du nouvel acteur.</t>
        </is>
      </c>
    </row>
    <row r="38" ht="55.5" customHeight="1" s="70">
      <c r="A38" s="53" t="inlineStr">
        <is>
          <t>Incident</t>
        </is>
      </c>
      <c r="B38" s="50" t="inlineStr">
        <is>
          <t>Incident de sécurité avéré (interne ou écosystème)</t>
        </is>
      </c>
      <c r="C38" s="50" t="inlineStr">
        <is>
          <t>RSSI</t>
        </is>
      </c>
      <c r="D38" s="8" t="inlineStr">
        <is>
          <t>Retour d'expérience, mise à jour des scénarios, ajustement des mesures.</t>
        </is>
      </c>
    </row>
    <row r="39" ht="55.5" customHeight="1" s="70">
      <c r="A39" s="29" t="inlineStr">
        <is>
          <t>Cycle</t>
        </is>
      </c>
      <c r="B39" s="47" t="inlineStr">
        <is>
          <t>Échéance du cycle stratégique (1 an)</t>
        </is>
      </c>
      <c r="C39" s="47" t="inlineStr">
        <is>
          <t>RSSI</t>
        </is>
      </c>
      <c r="D39" s="5" t="inlineStr">
        <is>
          <t>Revue annuelle complète de l'analyse de risque.</t>
        </is>
      </c>
    </row>
  </sheetData>
  <mergeCells count="5">
    <mergeCell ref="A1:D2"/>
    <mergeCell ref="A31:D31"/>
    <mergeCell ref="A6:D6"/>
    <mergeCell ref="A4:D4"/>
    <mergeCell ref="A24:D24"/>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2026-05-16T14:58:13Z</dcterms:created>
  <dcterms:modified xmlns:dcterms="http://purl.org/dc/terms/" xmlns:xsi="http://www.w3.org/2001/XMLSchema-instance" xsi:type="dcterms:W3CDTF">2026-05-25T16:19:22Z</dcterms:modified>
  <cp:lastModifiedBy>virgile thonnier</cp:lastModifiedBy>
  <cp:revision>0</cp:revision>
</cp:coreProperties>
</file>