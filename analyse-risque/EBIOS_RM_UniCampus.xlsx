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1.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4" autoFilterDateGrouping="1"/>
  </bookViews>
  <sheets>
    <sheet xmlns:r="http://schemas.openxmlformats.org/officeDocument/2006/relationships" name="Introduction" sheetId="1" state="visible" r:id="rId1"/>
    <sheet xmlns:r="http://schemas.openxmlformats.org/officeDocument/2006/relationships" name="A1.0 Périmètre" sheetId="2" state="visible" r:id="rId2"/>
    <sheet xmlns:r="http://schemas.openxmlformats.org/officeDocument/2006/relationships" name="A1.1 Missions &amp; VM" sheetId="3" state="visible" r:id="rId3"/>
    <sheet xmlns:r="http://schemas.openxmlformats.org/officeDocument/2006/relationships" name="A1.2 Biens supports" sheetId="4" state="visible" r:id="rId4"/>
    <sheet xmlns:r="http://schemas.openxmlformats.org/officeDocument/2006/relationships" name="A1.3 Échelle de gravité" sheetId="5" state="visible" r:id="rId5"/>
    <sheet xmlns:r="http://schemas.openxmlformats.org/officeDocument/2006/relationships" name="A1.4 Événements redoutés" sheetId="6" state="visible" r:id="rId6"/>
    <sheet xmlns:r="http://schemas.openxmlformats.org/officeDocument/2006/relationships" name="A2.0 Échelle de pertinence" sheetId="7" state="visible" r:id="rId7"/>
    <sheet xmlns:r="http://schemas.openxmlformats.org/officeDocument/2006/relationships" name="A2.1 Sources de risque" sheetId="8" state="visible" r:id="rId8"/>
    <sheet xmlns:r="http://schemas.openxmlformats.org/officeDocument/2006/relationships" name="A2.2 Couples SR-OV" sheetId="9" state="visible" r:id="rId9"/>
    <sheet xmlns:r="http://schemas.openxmlformats.org/officeDocument/2006/relationships" name="A2.3 Liens couples - ER" sheetId="10" state="visible" r:id="rId10"/>
    <sheet xmlns:r="http://schemas.openxmlformats.org/officeDocument/2006/relationships" name="A3.0 Critères de dangerosité" sheetId="11" state="visible" r:id="rId11"/>
    <sheet xmlns:r="http://schemas.openxmlformats.org/officeDocument/2006/relationships" name="A3.1 Parties prenantes" sheetId="12" state="visible" r:id="rId12"/>
    <sheet xmlns:r="http://schemas.openxmlformats.org/officeDocument/2006/relationships" name="A3.2 Cartographie dangerosité" sheetId="13" state="visible" r:id="rId13"/>
    <sheet xmlns:r="http://schemas.openxmlformats.org/officeDocument/2006/relationships" name="A3.3 Scénarios stratégiques" sheetId="14" state="visible" r:id="rId14"/>
    <sheet xmlns:r="http://schemas.openxmlformats.org/officeDocument/2006/relationships" name="A3.4 Mesures écosystème" sheetId="15" state="visible" r:id="rId15"/>
    <sheet xmlns:r="http://schemas.openxmlformats.org/officeDocument/2006/relationships" name="A4 Scénarios opérationnels" sheetId="16" state="visible" r:id="rId16"/>
    <sheet xmlns:r="http://schemas.openxmlformats.org/officeDocument/2006/relationships" name="A5 Traitement du risque" sheetId="17" state="visible" r:id="rId17"/>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6"/>
    </font>
    <font>
      <name val="Arial"/>
      <charset val="1"/>
      <family val="0"/>
      <b val="1"/>
      <color rgb="FF1F4E78"/>
      <sz val="13"/>
    </font>
    <font>
      <name val="Arial"/>
      <charset val="1"/>
      <family val="0"/>
      <b val="1"/>
      <color rgb="FF1F4E78"/>
      <sz val="12"/>
    </font>
    <font>
      <name val="Arial"/>
      <charset val="1"/>
      <family val="0"/>
      <i val="1"/>
      <color rgb="FF595959"/>
      <sz val="10"/>
    </font>
    <font>
      <name val="Arial"/>
      <charset val="1"/>
      <family val="0"/>
      <b val="1"/>
      <color rgb="FFFFFFFF"/>
      <sz val="11"/>
    </font>
    <font>
      <name val="Arial"/>
      <charset val="1"/>
      <family val="2"/>
      <b val="1"/>
      <color rgb="FFFFFFFF"/>
      <sz val="11"/>
    </font>
    <font>
      <name val="Arial"/>
      <charset val="1"/>
      <family val="0"/>
      <b val="1"/>
      <sz val="10"/>
    </font>
    <font>
      <name val="Arial"/>
      <charset val="1"/>
      <family val="2"/>
      <sz val="10"/>
    </font>
    <font>
      <name val="Arial"/>
      <charset val="1"/>
      <family val="0"/>
      <sz val="10"/>
    </font>
    <font>
      <name val="Arial"/>
      <charset val="1"/>
      <family val="2"/>
      <b val="1"/>
      <color rgb="FFFFFFFF"/>
      <sz val="16"/>
    </font>
    <font>
      <name val="Arial"/>
      <charset val="1"/>
      <family val="2"/>
      <b val="1"/>
      <sz val="10"/>
    </font>
    <font>
      <name val="Cambria"/>
      <charset val="1"/>
      <family val="0"/>
      <sz val="11"/>
    </font>
    <font>
      <name val="Arial"/>
      <charset val="1"/>
      <family val="0"/>
      <b val="1"/>
      <color rgb="FFFFFFFF"/>
      <sz val="10"/>
    </font>
  </fonts>
  <fills count="12">
    <fill>
      <patternFill/>
    </fill>
    <fill>
      <patternFill patternType="gray125"/>
    </fill>
    <fill>
      <patternFill patternType="solid">
        <fgColor rgb="FF1F4E78"/>
        <bgColor rgb="FF003366"/>
      </patternFill>
    </fill>
    <fill>
      <patternFill patternType="solid">
        <fgColor rgb="FFD9E1F2"/>
        <bgColor rgb="FFEDEDED"/>
      </patternFill>
    </fill>
    <fill>
      <patternFill patternType="solid">
        <fgColor rgb="FFFFF2CC"/>
        <bgColor rgb="FFF2F2F2"/>
      </patternFill>
    </fill>
    <fill>
      <patternFill patternType="solid">
        <fgColor rgb="FFF2F2F2"/>
        <bgColor rgb="FFEDEDED"/>
      </patternFill>
    </fill>
    <fill>
      <patternFill patternType="solid">
        <fgColor rgb="FFFFC7CE"/>
        <bgColor rgb="FFFFD699"/>
      </patternFill>
    </fill>
    <fill>
      <patternFill patternType="solid">
        <fgColor rgb="FFFFD699"/>
        <bgColor rgb="FFFFEB9C"/>
      </patternFill>
    </fill>
    <fill>
      <patternFill patternType="solid">
        <fgColor rgb="FFFFEB9C"/>
        <bgColor rgb="FFFFD699"/>
      </patternFill>
    </fill>
    <fill>
      <patternFill patternType="solid">
        <fgColor rgb="FFC6EFCE"/>
        <bgColor rgb="FFD9E1F2"/>
      </patternFill>
    </fill>
    <fill>
      <patternFill patternType="solid">
        <fgColor rgb="FFEDEDED"/>
        <bgColor rgb="FFF2F2F2"/>
      </patternFill>
    </fill>
    <fill>
      <patternFill patternType="solid">
        <fgColor rgb="FF2E75B6"/>
        <bgColor rgb="FF0066CC"/>
      </patternFill>
    </fill>
  </fills>
  <borders count="10">
    <border>
      <left/>
      <right/>
      <top/>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top style="thin">
        <color rgb="FFBFBFBF"/>
      </top>
      <bottom style="thin">
        <color rgb="FFBFBFBF"/>
      </bottom>
      <diagonal/>
    </border>
    <border>
      <left style="thin">
        <color rgb="FFBFBFBF"/>
      </left>
      <right/>
      <top/>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0" borderId="0" applyAlignment="1" pivotButton="0" quotePrefix="0" xfId="0">
      <alignment horizontal="center" vertical="center"/>
    </xf>
    <xf numFmtId="0" fontId="6" fillId="3" borderId="0" applyAlignment="1" pivotButton="0" quotePrefix="0" xfId="0">
      <alignment horizontal="left" vertical="center" indent="1"/>
    </xf>
    <xf numFmtId="0" fontId="7" fillId="4" borderId="1" applyAlignment="1" pivotButton="0" quotePrefix="0" xfId="0">
      <alignment horizontal="left" vertical="top" wrapText="1"/>
    </xf>
    <xf numFmtId="0" fontId="8" fillId="2" borderId="2" applyAlignment="1" pivotButton="0" quotePrefix="0" xfId="0">
      <alignment horizontal="center" vertical="center" wrapText="1"/>
    </xf>
    <xf numFmtId="0" fontId="9" fillId="2" borderId="2" applyAlignment="1" pivotButton="0" quotePrefix="0" xfId="0">
      <alignment horizontal="center" vertical="center" wrapText="1"/>
    </xf>
    <xf numFmtId="0" fontId="10" fillId="0" borderId="2" applyAlignment="1" pivotButton="0" quotePrefix="0" xfId="0">
      <alignment horizontal="center" vertical="center" wrapText="1"/>
    </xf>
    <xf numFmtId="0" fontId="11" fillId="0" borderId="2" applyAlignment="1" pivotButton="0" quotePrefix="0" xfId="0">
      <alignment horizontal="left" vertical="top" wrapText="1"/>
    </xf>
    <xf numFmtId="0" fontId="12" fillId="0" borderId="2" applyAlignment="1" pivotButton="0" quotePrefix="0" xfId="0">
      <alignment horizontal="left" vertical="top" wrapText="1"/>
    </xf>
    <xf numFmtId="49" fontId="11" fillId="0" borderId="2" applyAlignment="1" pivotButton="0" quotePrefix="0" xfId="0">
      <alignment horizontal="left" vertical="top" wrapText="1"/>
    </xf>
    <xf numFmtId="0" fontId="10" fillId="5" borderId="2" applyAlignment="1" pivotButton="0" quotePrefix="0" xfId="0">
      <alignment horizontal="center" vertical="center" wrapText="1"/>
    </xf>
    <xf numFmtId="0" fontId="12" fillId="5" borderId="2" applyAlignment="1" pivotButton="0" quotePrefix="0" xfId="0">
      <alignment horizontal="left" vertical="top" wrapText="1"/>
    </xf>
    <xf numFmtId="0" fontId="11" fillId="5" borderId="2" applyAlignment="1" pivotButton="0" quotePrefix="0" xfId="0">
      <alignment horizontal="left" vertical="top" wrapText="1"/>
    </xf>
    <xf numFmtId="0" fontId="12" fillId="0" borderId="2" applyAlignment="1" pivotButton="0" quotePrefix="0" xfId="0">
      <alignment horizontal="center" vertical="center" wrapText="1"/>
    </xf>
    <xf numFmtId="0" fontId="12" fillId="5" borderId="2" applyAlignment="1" pivotButton="0" quotePrefix="0" xfId="0">
      <alignment horizontal="center" vertical="center" wrapText="1"/>
    </xf>
    <xf numFmtId="0" fontId="13" fillId="2" borderId="0" applyAlignment="1" pivotButton="0" quotePrefix="0" xfId="0">
      <alignment horizontal="center" vertical="center" wrapText="1"/>
    </xf>
    <xf numFmtId="0" fontId="10" fillId="3" borderId="2" applyAlignment="1" pivotButton="0" quotePrefix="0" xfId="0">
      <alignment horizontal="left" vertical="top" wrapText="1"/>
    </xf>
    <xf numFmtId="0" fontId="10" fillId="3" borderId="2" applyAlignment="1" pivotButton="0" quotePrefix="0" xfId="0">
      <alignment horizontal="center" vertical="center" wrapText="1"/>
    </xf>
    <xf numFmtId="0" fontId="11" fillId="3" borderId="2" applyAlignment="1" pivotButton="0" quotePrefix="0" xfId="0">
      <alignment horizontal="left" vertical="top" wrapText="1"/>
    </xf>
    <xf numFmtId="0" fontId="14" fillId="0" borderId="2" applyAlignment="1" pivotButton="0" quotePrefix="0" xfId="0">
      <alignment horizontal="left" vertical="top" wrapText="1"/>
    </xf>
    <xf numFmtId="0" fontId="14" fillId="5" borderId="2" applyAlignment="1" pivotButton="0" quotePrefix="0" xfId="0">
      <alignment horizontal="left" vertical="top" wrapText="1"/>
    </xf>
    <xf numFmtId="0" fontId="10" fillId="6" borderId="2" applyAlignment="1" pivotButton="0" quotePrefix="0" xfId="0">
      <alignment horizontal="center" vertical="center" wrapText="1"/>
    </xf>
    <xf numFmtId="0" fontId="10" fillId="6" borderId="2" applyAlignment="1" pivotButton="0" quotePrefix="0" xfId="0">
      <alignment horizontal="left" vertical="top" wrapText="1"/>
    </xf>
    <xf numFmtId="0" fontId="12" fillId="6" borderId="2" applyAlignment="1" pivotButton="0" quotePrefix="0" xfId="0">
      <alignment horizontal="left" vertical="top" wrapText="1"/>
    </xf>
    <xf numFmtId="0" fontId="10" fillId="7" borderId="2" applyAlignment="1" pivotButton="0" quotePrefix="0" xfId="0">
      <alignment horizontal="center" vertical="center" wrapText="1"/>
    </xf>
    <xf numFmtId="0" fontId="10" fillId="7" borderId="2" applyAlignment="1" pivotButton="0" quotePrefix="0" xfId="0">
      <alignment horizontal="left" vertical="top" wrapText="1"/>
    </xf>
    <xf numFmtId="0" fontId="12" fillId="7" borderId="2" applyAlignment="1" pivotButton="0" quotePrefix="0" xfId="0">
      <alignment horizontal="left" vertical="top" wrapText="1"/>
    </xf>
    <xf numFmtId="0" fontId="10" fillId="8" borderId="2" applyAlignment="1" pivotButton="0" quotePrefix="0" xfId="0">
      <alignment horizontal="center" vertical="center" wrapText="1"/>
    </xf>
    <xf numFmtId="0" fontId="10" fillId="8" borderId="2" applyAlignment="1" pivotButton="0" quotePrefix="0" xfId="0">
      <alignment horizontal="left" vertical="top" wrapText="1"/>
    </xf>
    <xf numFmtId="0" fontId="12" fillId="8" borderId="2" applyAlignment="1" pivotButton="0" quotePrefix="0" xfId="0">
      <alignment horizontal="left" vertical="top" wrapText="1"/>
    </xf>
    <xf numFmtId="0" fontId="10" fillId="9" borderId="2" applyAlignment="1" pivotButton="0" quotePrefix="0" xfId="0">
      <alignment horizontal="center" vertical="center" wrapText="1"/>
    </xf>
    <xf numFmtId="0" fontId="10" fillId="9" borderId="2" applyAlignment="1" pivotButton="0" quotePrefix="0" xfId="0">
      <alignment horizontal="left" vertical="top" wrapText="1"/>
    </xf>
    <xf numFmtId="0" fontId="12" fillId="9" borderId="2" applyAlignment="1" pivotButton="0" quotePrefix="0" xfId="0">
      <alignment horizontal="left" vertical="top" wrapText="1"/>
    </xf>
    <xf numFmtId="0" fontId="15" fillId="0" borderId="0" applyAlignment="1" pivotButton="0" quotePrefix="0" xfId="0">
      <alignment horizontal="general" vertical="bottom"/>
    </xf>
    <xf numFmtId="0" fontId="6" fillId="3" borderId="0" applyAlignment="1" pivotButton="0" quotePrefix="0" xfId="0">
      <alignment horizontal="left" vertical="center" wrapText="1" indent="1"/>
    </xf>
    <xf numFmtId="0" fontId="10" fillId="0" borderId="2" applyAlignment="1" pivotButton="0" quotePrefix="0" xfId="0">
      <alignment horizontal="left" vertical="center" wrapText="1" indent="1"/>
    </xf>
    <xf numFmtId="0" fontId="10" fillId="10" borderId="2" applyAlignment="1" pivotButton="0" quotePrefix="0" xfId="0">
      <alignment horizontal="left" vertical="center" wrapText="1" indent="1"/>
    </xf>
    <xf numFmtId="0" fontId="10" fillId="10" borderId="2" applyAlignment="1" pivotButton="0" quotePrefix="0" xfId="0">
      <alignment horizontal="center" vertical="center" wrapText="1"/>
    </xf>
    <xf numFmtId="0" fontId="12" fillId="10" borderId="2" applyAlignment="1" pivotButton="0" quotePrefix="0" xfId="0">
      <alignment horizontal="left" vertical="top" wrapText="1"/>
    </xf>
    <xf numFmtId="0" fontId="16" fillId="11" borderId="1" applyAlignment="1" pivotButton="0" quotePrefix="0" xfId="0">
      <alignment horizontal="center" vertical="center" wrapText="1"/>
    </xf>
    <xf numFmtId="0" fontId="16" fillId="11" borderId="2" applyAlignment="1" pivotButton="0" quotePrefix="0" xfId="0">
      <alignment horizontal="center" vertical="center" wrapText="1"/>
    </xf>
    <xf numFmtId="0" fontId="12" fillId="0" borderId="1" applyAlignment="1" pivotButton="0" quotePrefix="0" xfId="0">
      <alignment horizontal="left" vertical="top" wrapText="1"/>
    </xf>
    <xf numFmtId="0" fontId="12" fillId="5" borderId="1" applyAlignment="1" pivotButton="0" quotePrefix="0" xfId="0">
      <alignment horizontal="left" vertical="top" wrapText="1"/>
    </xf>
    <xf numFmtId="0" fontId="10" fillId="0" borderId="1" applyAlignment="1" pivotButton="0" quotePrefix="0" xfId="0">
      <alignment horizontal="center" vertical="center" wrapText="1"/>
    </xf>
    <xf numFmtId="0" fontId="10" fillId="0" borderId="2" applyAlignment="1" pivotButton="0" quotePrefix="0" xfId="0">
      <alignment horizontal="left" vertical="top" wrapText="1"/>
    </xf>
    <xf numFmtId="0" fontId="10" fillId="5" borderId="2" applyAlignment="1" pivotButton="0" quotePrefix="0" xfId="0">
      <alignment horizontal="left" vertical="top" wrapText="1"/>
    </xf>
    <xf numFmtId="0" fontId="12" fillId="7" borderId="2" applyAlignment="1" pivotButton="0" quotePrefix="0" xfId="0">
      <alignment horizontal="center" vertical="center" wrapText="1"/>
    </xf>
    <xf numFmtId="0" fontId="12" fillId="8" borderId="2" applyAlignment="1" pivotButton="0" quotePrefix="0" xfId="0">
      <alignment horizontal="center" vertical="center" wrapText="1"/>
    </xf>
    <xf numFmtId="0" fontId="12" fillId="6" borderId="2" applyAlignment="1" pivotButton="0" quotePrefix="0" xfId="0">
      <alignment horizontal="center" vertical="center" wrapText="1"/>
    </xf>
    <xf numFmtId="0" fontId="0" fillId="2" borderId="2" applyAlignment="1" pivotButton="0" quotePrefix="0" xfId="0">
      <alignment horizontal="general" vertical="bottom"/>
    </xf>
    <xf numFmtId="2" fontId="10" fillId="0" borderId="2" applyAlignment="1" pivotButton="0" quotePrefix="0" xfId="0">
      <alignment horizontal="center" vertical="center" wrapText="1"/>
    </xf>
    <xf numFmtId="2" fontId="10" fillId="5" borderId="2" applyAlignment="1" pivotButton="0" quotePrefix="0" xfId="0">
      <alignment horizontal="center" vertical="center" wrapText="1"/>
    </xf>
    <xf numFmtId="2" fontId="10" fillId="8" borderId="2"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horizontal="center" vertical="center"/>
    </xf>
    <xf numFmtId="0" fontId="6" fillId="3" borderId="0" applyAlignment="1" pivotButton="0" quotePrefix="0" xfId="0">
      <alignment horizontal="left" vertical="center" indent="1"/>
    </xf>
    <xf numFmtId="0" fontId="7" fillId="4" borderId="1" applyAlignment="1" pivotButton="0" quotePrefix="0" xfId="0">
      <alignment horizontal="left" vertical="top" wrapText="1"/>
    </xf>
    <xf numFmtId="0" fontId="0" fillId="0" borderId="4" pivotButton="0" quotePrefix="0" xfId="0"/>
    <xf numFmtId="0" fontId="8" fillId="2" borderId="2" applyAlignment="1" pivotButton="0" quotePrefix="0" xfId="0">
      <alignment horizontal="center" vertical="center" wrapText="1"/>
    </xf>
    <xf numFmtId="0" fontId="9" fillId="2" borderId="2" applyAlignment="1" pivotButton="0" quotePrefix="0" xfId="0">
      <alignment horizontal="center" vertical="center" wrapText="1"/>
    </xf>
    <xf numFmtId="0" fontId="10" fillId="0" borderId="2" applyAlignment="1" pivotButton="0" quotePrefix="0" xfId="0">
      <alignment horizontal="center" vertical="center" wrapText="1"/>
    </xf>
    <xf numFmtId="0" fontId="11" fillId="0" borderId="2" applyAlignment="1" pivotButton="0" quotePrefix="0" xfId="0">
      <alignment horizontal="left" vertical="top" wrapText="1"/>
    </xf>
    <xf numFmtId="0" fontId="12" fillId="0" borderId="2" applyAlignment="1" pivotButton="0" quotePrefix="0" xfId="0">
      <alignment horizontal="left" vertical="top" wrapText="1"/>
    </xf>
    <xf numFmtId="49" fontId="11" fillId="0" borderId="2" applyAlignment="1" pivotButton="0" quotePrefix="0" xfId="0">
      <alignment horizontal="left" vertical="top" wrapText="1"/>
    </xf>
    <xf numFmtId="0" fontId="10" fillId="5" borderId="2" applyAlignment="1" pivotButton="0" quotePrefix="0" xfId="0">
      <alignment horizontal="center" vertical="center" wrapText="1"/>
    </xf>
    <xf numFmtId="0" fontId="12" fillId="5" borderId="2" applyAlignment="1" pivotButton="0" quotePrefix="0" xfId="0">
      <alignment horizontal="left" vertical="top" wrapText="1"/>
    </xf>
    <xf numFmtId="0" fontId="11" fillId="5" borderId="2" applyAlignment="1" pivotButton="0" quotePrefix="0" xfId="0">
      <alignment horizontal="left" vertical="top" wrapText="1"/>
    </xf>
    <xf numFmtId="0" fontId="12" fillId="0" borderId="2" applyAlignment="1" pivotButton="0" quotePrefix="0" xfId="0">
      <alignment horizontal="center" vertical="center" wrapText="1"/>
    </xf>
    <xf numFmtId="0" fontId="12" fillId="5" borderId="2" applyAlignment="1" pivotButton="0" quotePrefix="0" xfId="0">
      <alignment horizontal="center" vertical="center" wrapText="1"/>
    </xf>
    <xf numFmtId="0" fontId="13" fillId="2" borderId="0" applyAlignment="1" pivotButton="0" quotePrefix="0" xfId="0">
      <alignment horizontal="center" vertical="center" wrapText="1"/>
    </xf>
    <xf numFmtId="0" fontId="10" fillId="3" borderId="2" applyAlignment="1" pivotButton="0" quotePrefix="0" xfId="0">
      <alignment horizontal="left" vertical="top" wrapText="1"/>
    </xf>
    <xf numFmtId="0" fontId="10" fillId="3" borderId="2" applyAlignment="1" pivotButton="0" quotePrefix="0" xfId="0">
      <alignment horizontal="center" vertical="center" wrapText="1"/>
    </xf>
    <xf numFmtId="0" fontId="11" fillId="3" borderId="2" applyAlignment="1" pivotButton="0" quotePrefix="0" xfId="0">
      <alignment horizontal="left" vertical="top" wrapText="1"/>
    </xf>
    <xf numFmtId="0" fontId="14" fillId="0" borderId="2" applyAlignment="1" pivotButton="0" quotePrefix="0" xfId="0">
      <alignment horizontal="left" vertical="top" wrapText="1"/>
    </xf>
    <xf numFmtId="0" fontId="0" fillId="0" borderId="6" pivotButton="0" quotePrefix="0" xfId="0"/>
    <xf numFmtId="0" fontId="14" fillId="5" borderId="2" applyAlignment="1" pivotButton="0" quotePrefix="0" xfId="0">
      <alignment horizontal="left" vertical="top" wrapText="1"/>
    </xf>
    <xf numFmtId="0" fontId="0" fillId="0" borderId="7" pivotButton="0" quotePrefix="0" xfId="0"/>
    <xf numFmtId="0" fontId="10" fillId="6" borderId="2" applyAlignment="1" pivotButton="0" quotePrefix="0" xfId="0">
      <alignment horizontal="center" vertical="center" wrapText="1"/>
    </xf>
    <xf numFmtId="0" fontId="10" fillId="6" borderId="2" applyAlignment="1" pivotButton="0" quotePrefix="0" xfId="0">
      <alignment horizontal="left" vertical="top" wrapText="1"/>
    </xf>
    <xf numFmtId="0" fontId="12" fillId="6" borderId="2" applyAlignment="1" pivotButton="0" quotePrefix="0" xfId="0">
      <alignment horizontal="left" vertical="top" wrapText="1"/>
    </xf>
    <xf numFmtId="0" fontId="10" fillId="7" borderId="2" applyAlignment="1" pivotButton="0" quotePrefix="0" xfId="0">
      <alignment horizontal="center" vertical="center" wrapText="1"/>
    </xf>
    <xf numFmtId="0" fontId="10" fillId="7" borderId="2" applyAlignment="1" pivotButton="0" quotePrefix="0" xfId="0">
      <alignment horizontal="left" vertical="top" wrapText="1"/>
    </xf>
    <xf numFmtId="0" fontId="12" fillId="7" borderId="2" applyAlignment="1" pivotButton="0" quotePrefix="0" xfId="0">
      <alignment horizontal="left" vertical="top" wrapText="1"/>
    </xf>
    <xf numFmtId="0" fontId="10" fillId="8" borderId="2" applyAlignment="1" pivotButton="0" quotePrefix="0" xfId="0">
      <alignment horizontal="center" vertical="center" wrapText="1"/>
    </xf>
    <xf numFmtId="0" fontId="10" fillId="8" borderId="2" applyAlignment="1" pivotButton="0" quotePrefix="0" xfId="0">
      <alignment horizontal="left" vertical="top" wrapText="1"/>
    </xf>
    <xf numFmtId="0" fontId="12" fillId="8" borderId="2" applyAlignment="1" pivotButton="0" quotePrefix="0" xfId="0">
      <alignment horizontal="left" vertical="top" wrapText="1"/>
    </xf>
    <xf numFmtId="0" fontId="10" fillId="9" borderId="2" applyAlignment="1" pivotButton="0" quotePrefix="0" xfId="0">
      <alignment horizontal="center" vertical="center" wrapText="1"/>
    </xf>
    <xf numFmtId="0" fontId="10" fillId="9" borderId="2" applyAlignment="1" pivotButton="0" quotePrefix="0" xfId="0">
      <alignment horizontal="left" vertical="top" wrapText="1"/>
    </xf>
    <xf numFmtId="0" fontId="12" fillId="9" borderId="2" applyAlignment="1" pivotButton="0" quotePrefix="0" xfId="0">
      <alignment horizontal="left" vertical="top" wrapText="1"/>
    </xf>
    <xf numFmtId="0" fontId="15" fillId="0" borderId="0" applyAlignment="1" pivotButton="0" quotePrefix="0" xfId="0">
      <alignment horizontal="general" vertical="bottom"/>
    </xf>
    <xf numFmtId="0" fontId="6" fillId="3" borderId="0" applyAlignment="1" pivotButton="0" quotePrefix="0" xfId="0">
      <alignment horizontal="left" vertical="center" wrapText="1" indent="1"/>
    </xf>
    <xf numFmtId="0" fontId="10" fillId="0" borderId="2" applyAlignment="1" pivotButton="0" quotePrefix="0" xfId="0">
      <alignment horizontal="left" vertical="center" wrapText="1" indent="1"/>
    </xf>
    <xf numFmtId="0" fontId="10" fillId="10" borderId="2" applyAlignment="1" pivotButton="0" quotePrefix="0" xfId="0">
      <alignment horizontal="left" vertical="center" wrapText="1" indent="1"/>
    </xf>
    <xf numFmtId="0" fontId="10" fillId="10" borderId="2" applyAlignment="1" pivotButton="0" quotePrefix="0" xfId="0">
      <alignment horizontal="center" vertical="center" wrapText="1"/>
    </xf>
    <xf numFmtId="0" fontId="12" fillId="10" borderId="2" applyAlignment="1" pivotButton="0" quotePrefix="0" xfId="0">
      <alignment horizontal="left" vertical="top" wrapText="1"/>
    </xf>
    <xf numFmtId="0" fontId="16" fillId="11" borderId="1" applyAlignment="1" pivotButton="0" quotePrefix="0" xfId="0">
      <alignment horizontal="center" vertical="center" wrapText="1"/>
    </xf>
    <xf numFmtId="0" fontId="16" fillId="11" borderId="2" applyAlignment="1" pivotButton="0" quotePrefix="0" xfId="0">
      <alignment horizontal="center" vertical="center" wrapText="1"/>
    </xf>
    <xf numFmtId="0" fontId="0" fillId="0" borderId="9" pivotButton="0" quotePrefix="0" xfId="0"/>
    <xf numFmtId="0" fontId="12" fillId="0" borderId="1" applyAlignment="1" pivotButton="0" quotePrefix="0" xfId="0">
      <alignment horizontal="left" vertical="top" wrapText="1"/>
    </xf>
    <xf numFmtId="0" fontId="12" fillId="5" borderId="1" applyAlignment="1" pivotButton="0" quotePrefix="0" xfId="0">
      <alignment horizontal="left" vertical="top" wrapText="1"/>
    </xf>
    <xf numFmtId="0" fontId="10" fillId="0" borderId="1" applyAlignment="1" pivotButton="0" quotePrefix="0" xfId="0">
      <alignment horizontal="center" vertical="center" wrapText="1"/>
    </xf>
    <xf numFmtId="0" fontId="10" fillId="0" borderId="2" applyAlignment="1" pivotButton="0" quotePrefix="0" xfId="0">
      <alignment horizontal="left" vertical="top" wrapText="1"/>
    </xf>
    <xf numFmtId="0" fontId="10" fillId="5" borderId="2" applyAlignment="1" pivotButton="0" quotePrefix="0" xfId="0">
      <alignment horizontal="left" vertical="top" wrapText="1"/>
    </xf>
    <xf numFmtId="0" fontId="12" fillId="7" borderId="2" applyAlignment="1" pivotButton="0" quotePrefix="0" xfId="0">
      <alignment horizontal="center" vertical="center" wrapText="1"/>
    </xf>
    <xf numFmtId="0" fontId="12" fillId="8" borderId="2" applyAlignment="1" pivotButton="0" quotePrefix="0" xfId="0">
      <alignment horizontal="center" vertical="center" wrapText="1"/>
    </xf>
    <xf numFmtId="0" fontId="12" fillId="6" borderId="2" applyAlignment="1" pivotButton="0" quotePrefix="0" xfId="0">
      <alignment horizontal="center" vertical="center" wrapText="1"/>
    </xf>
    <xf numFmtId="0" fontId="0" fillId="2" borderId="2" applyAlignment="1" pivotButton="0" quotePrefix="0" xfId="0">
      <alignment horizontal="general" vertical="bottom"/>
    </xf>
    <xf numFmtId="2" fontId="10" fillId="0" borderId="2" applyAlignment="1" pivotButton="0" quotePrefix="0" xfId="0">
      <alignment horizontal="center" vertical="center" wrapText="1"/>
    </xf>
    <xf numFmtId="2" fontId="10" fillId="5" borderId="2" applyAlignment="1" pivotButton="0" quotePrefix="0" xfId="0">
      <alignment horizontal="center" vertical="center" wrapText="1"/>
    </xf>
    <xf numFmtId="2" fontId="10" fillId="8" borderId="2"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bgColor rgb="FFC6EFCE"/>
        </patternFill>
      </fill>
    </dxf>
    <dxf>
      <fill>
        <patternFill>
          <bgColor rgb="FFFFEB9C"/>
        </patternFill>
      </fill>
    </dxf>
    <dxf>
      <fill>
        <patternFill>
          <bgColor rgb="FFFFD699"/>
        </patternFill>
      </fill>
    </dxf>
    <dxf>
      <fill>
        <patternFill>
          <bgColor rgb="FFFFC7CE"/>
        </patternFill>
      </fill>
    </dxf>
    <dxf>
      <fill>
        <patternFill>
          <bgColor rgb="FFC6EFCE"/>
        </patternFill>
      </fill>
    </dxf>
    <dxf>
      <fill>
        <patternFill>
          <bgColor rgb="FFFFEB9C"/>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EDEDED"/>
      <rgbColor rgb="FFC6EFCE"/>
      <rgbColor rgb="FFFFEB9C"/>
      <rgbColor rgb="FF99CCFF"/>
      <rgbColor rgb="FFFFC7CE"/>
      <rgbColor rgb="FFCC99FF"/>
      <rgbColor rgb="FFFFD699"/>
      <rgbColor rgb="FF2E75B6"/>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18</row>
      <rowOff>0</rowOff>
    </from>
    <ext cx="10477500" cy="6572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1:D3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H14" activeCellId="0" sqref="H14"/>
    </sheetView>
  </sheetViews>
  <sheetFormatPr baseColWidth="8" defaultColWidth="8.70703125" defaultRowHeight="14.25" zeroHeight="0" outlineLevelRow="0"/>
  <cols>
    <col width="4" customWidth="1" style="55" min="1" max="1"/>
    <col width="28" customWidth="1" style="55" min="2" max="2"/>
    <col width="70" customWidth="1" style="55" min="3" max="3"/>
    <col width="25" customWidth="1" style="55" min="4" max="4"/>
  </cols>
  <sheetData>
    <row r="1" ht="27.75" customHeight="1" s="56">
      <c r="A1" s="57" t="inlineStr">
        <is>
          <t>Analyse de risque EBIOS RM : Classeur de travail</t>
        </is>
      </c>
    </row>
    <row r="2" ht="27.75" customHeight="1" s="56"/>
    <row r="4" ht="15.75" customHeight="1" s="56">
      <c r="A4" s="58" t="inlineStr">
        <is>
          <t>Projet 07 : UniCampus+   |   Cours 4CS08  |   Méthode EBIOS Risk Manager 2018 (ANSSI)</t>
        </is>
      </c>
    </row>
    <row r="6" ht="21.75" customHeight="1" s="56">
      <c r="A6" s="59" t="inlineStr">
        <is>
          <t>1. Composition du groupe</t>
        </is>
      </c>
    </row>
    <row r="7" ht="90" customHeight="1" s="56">
      <c r="A7" s="60" t="inlineStr">
        <is>
          <t>Virgile Thonnier
Timoté Lacambra
Jeremy Giudicelli
Ghislain Maugenest</t>
        </is>
      </c>
      <c r="B7" s="61" t="n"/>
      <c r="C7" s="61" t="n"/>
      <c r="D7" s="61" t="n"/>
    </row>
    <row r="9" ht="21.75" customHeight="1" s="56">
      <c r="A9" s="59" t="inlineStr">
        <is>
          <t>2. Méthode utilisée pour la réalisation de l'analyse de risque : les 5 ateliers EBIOS RM</t>
        </is>
      </c>
    </row>
    <row r="10" ht="27.75" customHeight="1" s="56">
      <c r="A10" s="62" t="inlineStr">
        <is>
          <t>Atelier</t>
        </is>
      </c>
      <c r="B10" s="62" t="inlineStr">
        <is>
          <t>Intitulé</t>
        </is>
      </c>
      <c r="C10" s="62" t="inlineStr">
        <is>
          <t>Objet</t>
        </is>
      </c>
      <c r="D10" s="63" t="inlineStr">
        <is>
          <t>Sortie(s)  principale(s)</t>
        </is>
      </c>
    </row>
    <row r="11" ht="48" customHeight="1" s="56">
      <c r="A11" s="64" t="inlineStr">
        <is>
          <t>A1</t>
        </is>
      </c>
      <c r="B11" s="65" t="inlineStr">
        <is>
          <t xml:space="preserve"> Portée et référentiel de sécurité</t>
        </is>
      </c>
      <c r="C11" s="66" t="inlineStr">
        <is>
          <t>Définir le périmètre, les missions, les valeurs métier, les biens supports, les événements redoutés (ER) et leur gravité ; lister le socle de sécurité existant.</t>
        </is>
      </c>
      <c r="D11" s="67" t="inlineStr">
        <is>
          <t>Portée opérationnelle et techniques
ER et niveaux de gravité</t>
        </is>
      </c>
    </row>
    <row r="12" ht="48" customHeight="1" s="56">
      <c r="A12" s="68" t="inlineStr">
        <is>
          <t>A2</t>
        </is>
      </c>
      <c r="B12" s="69" t="inlineStr">
        <is>
          <t>Sources de risque</t>
        </is>
      </c>
      <c r="C12" s="69" t="inlineStr">
        <is>
          <t>Identifier les couples Source de risque / Objectif visé (SR/OV) et leur pertinence.</t>
        </is>
      </c>
      <c r="D12" s="69" t="inlineStr">
        <is>
          <t>Couples SR/OV retenus</t>
        </is>
      </c>
    </row>
    <row r="13" ht="48" customHeight="1" s="56">
      <c r="A13" s="64" t="inlineStr">
        <is>
          <t>A3</t>
        </is>
      </c>
      <c r="B13" s="66" t="inlineStr">
        <is>
          <t>Scénarios stratégiques</t>
        </is>
      </c>
      <c r="C13" s="66" t="inlineStr">
        <is>
          <t>Cartographier les menaces de l'écosystème (parties prenantes) et bâtir des scénarios de haut niveau.</t>
        </is>
      </c>
      <c r="D13" s="66" t="inlineStr">
        <is>
          <t>Scénarios stratégiques avec gravité</t>
        </is>
      </c>
    </row>
    <row r="14" ht="48" customHeight="1" s="56">
      <c r="A14" s="68" t="inlineStr">
        <is>
          <t>A4</t>
        </is>
      </c>
      <c r="B14" s="69" t="inlineStr">
        <is>
          <t>Scénarios opérationnels</t>
        </is>
      </c>
      <c r="C14" s="69" t="inlineStr">
        <is>
          <t>Décliner techniquement chaque scénario en séquence Connaître → Rentrer → Trouver → Exploiter ; coter la vraisemblance V1–V4.</t>
        </is>
      </c>
      <c r="D14" s="70" t="inlineStr">
        <is>
          <t>Scénarios techniques  vraisemblance</t>
        </is>
      </c>
    </row>
    <row r="15" ht="48" customHeight="1" s="56">
      <c r="A15" s="64" t="inlineStr">
        <is>
          <t>A5</t>
        </is>
      </c>
      <c r="B15" s="66" t="inlineStr">
        <is>
          <t>Traitement du risque</t>
        </is>
      </c>
      <c r="C15" s="66" t="inlineStr">
        <is>
          <t>Placer les risques sur la matrice gravité × vraisemblance, décider du traitement, planifier les mesures.</t>
        </is>
      </c>
      <c r="D15" s="65" t="inlineStr">
        <is>
          <t>Plan de traitement 
Risque résiduel</t>
        </is>
      </c>
    </row>
    <row r="17" ht="21.75" customHeight="1" s="56">
      <c r="A17" s="59" t="inlineStr">
        <is>
          <t>3. Plan du classeur</t>
        </is>
      </c>
    </row>
    <row r="18" ht="24" customHeight="1" s="56">
      <c r="A18" s="62" t="inlineStr">
        <is>
          <t>Onglet</t>
        </is>
      </c>
      <c r="B18" s="62" t="inlineStr">
        <is>
          <t>Atelier</t>
        </is>
      </c>
      <c r="C18" s="62" t="inlineStr">
        <is>
          <t>Contenu</t>
        </is>
      </c>
      <c r="D18" s="62" t="inlineStr">
        <is>
          <t>État</t>
        </is>
      </c>
    </row>
    <row r="19" ht="21.75" customHeight="1" s="56">
      <c r="A19" s="65" t="inlineStr">
        <is>
          <t>Introduction</t>
        </is>
      </c>
      <c r="B19" s="71" t="inlineStr">
        <is>
          <t>—</t>
        </is>
      </c>
      <c r="C19" s="66" t="inlineStr">
        <is>
          <t>Méthodologie, conventions, plan du classeur</t>
        </is>
      </c>
      <c r="D19" s="66" t="inlineStr">
        <is>
          <t>Stabilisé</t>
        </is>
      </c>
    </row>
    <row r="20" ht="21.75" customHeight="1" s="56">
      <c r="A20" s="69" t="inlineStr">
        <is>
          <t>A1.0 Périmètre</t>
        </is>
      </c>
      <c r="B20" s="72" t="inlineStr">
        <is>
          <t>A1</t>
        </is>
      </c>
      <c r="C20" s="69" t="inlineStr">
        <is>
          <t>Cadre de l'étude, périmètres métier et technique, participants</t>
        </is>
      </c>
      <c r="D20" s="69" t="inlineStr">
        <is>
          <t>Rempli</t>
        </is>
      </c>
    </row>
    <row r="21" ht="21.75" customHeight="1" s="56">
      <c r="A21" s="66" t="inlineStr">
        <is>
          <t>A1.1 Missions &amp; VM</t>
        </is>
      </c>
      <c r="B21" s="71" t="inlineStr">
        <is>
          <t>A1</t>
        </is>
      </c>
      <c r="C21" s="66" t="inlineStr">
        <is>
          <t>Missions, valeurs métier (nature, description)</t>
        </is>
      </c>
      <c r="D21" s="66" t="inlineStr">
        <is>
          <t>Rempli</t>
        </is>
      </c>
    </row>
    <row r="22" ht="21.75" customHeight="1" s="56">
      <c r="A22" s="69" t="inlineStr">
        <is>
          <t>A1.2 Biens supports</t>
        </is>
      </c>
      <c r="B22" s="72" t="inlineStr">
        <is>
          <t>A1</t>
        </is>
      </c>
      <c r="C22" s="69" t="inlineStr">
        <is>
          <t>Biens supports par VM, descriptions, responsables</t>
        </is>
      </c>
      <c r="D22" s="69" t="inlineStr">
        <is>
          <t>Rempli</t>
        </is>
      </c>
    </row>
    <row r="23" ht="21.75" customHeight="1" s="56">
      <c r="A23" s="66" t="inlineStr">
        <is>
          <t>A1.3 Échelle de gravité</t>
        </is>
      </c>
      <c r="B23" s="71" t="inlineStr">
        <is>
          <t>A1</t>
        </is>
      </c>
      <c r="C23" s="66" t="inlineStr">
        <is>
          <t>Échelle calibrée multi-dimensionnelle (G1 à G4)</t>
        </is>
      </c>
      <c r="D23" s="66" t="inlineStr">
        <is>
          <t>Rempli</t>
        </is>
      </c>
    </row>
    <row r="24" ht="21.75" customHeight="1" s="56">
      <c r="A24" s="69" t="inlineStr">
        <is>
          <t>A1.4 Événements redoutés</t>
        </is>
      </c>
      <c r="B24" s="72" t="inlineStr">
        <is>
          <t>A1</t>
        </is>
      </c>
      <c r="C24" s="69" t="inlineStr">
        <is>
          <t>ER rattachés aux VM, cotation sur l'échelle</t>
        </is>
      </c>
      <c r="D24" s="69" t="inlineStr">
        <is>
          <t>Rempli</t>
        </is>
      </c>
    </row>
    <row r="25" ht="25.5" customHeight="1" s="56">
      <c r="A25" s="66" t="inlineStr">
        <is>
          <t>A2.0 Échelle de pertinence</t>
        </is>
      </c>
      <c r="B25" s="71" t="inlineStr">
        <is>
          <t>A2</t>
        </is>
      </c>
      <c r="C25" s="66" t="inlineStr">
        <is>
          <t>Matrice 4×4 Motivation × Ressources → Pertinence + définitions des niveaux</t>
        </is>
      </c>
      <c r="D25" s="66" t="inlineStr">
        <is>
          <t>Rempli</t>
        </is>
      </c>
    </row>
    <row r="26" ht="25.5" customHeight="1" s="56">
      <c r="A26" s="69" t="inlineStr">
        <is>
          <t>A2.1 Sources de risque</t>
        </is>
      </c>
      <c r="B26" s="72" t="inlineStr">
        <is>
          <t>A2</t>
        </is>
      </c>
      <c r="C26" s="69" t="inlineStr">
        <is>
          <t>Typologie des 5 sources de risque retenues avec profils</t>
        </is>
      </c>
      <c r="D26" s="69" t="inlineStr">
        <is>
          <t>Rempli</t>
        </is>
      </c>
    </row>
    <row r="27" ht="25.5" customHeight="1" s="56">
      <c r="A27" s="66" t="inlineStr">
        <is>
          <t>A2.2 Couples SR-OV</t>
        </is>
      </c>
      <c r="B27" s="71" t="inlineStr">
        <is>
          <t>A2</t>
        </is>
      </c>
      <c r="C27" s="66" t="inlineStr">
        <is>
          <t>Couples évalués (motivation, ressources, pertinence calculée, décision)</t>
        </is>
      </c>
      <c r="D27" s="66" t="inlineStr">
        <is>
          <t>Rempli</t>
        </is>
      </c>
    </row>
    <row r="28" ht="25.5" customHeight="1" s="56">
      <c r="A28" s="69" t="inlineStr">
        <is>
          <t>A2.3 Liens couples - ER</t>
        </is>
      </c>
      <c r="B28" s="72" t="inlineStr">
        <is>
          <t>A2</t>
        </is>
      </c>
      <c r="C28" s="69" t="inlineStr">
        <is>
          <t>Synthèse rapprochant les ER de A1.4 et les couples SR/OV</t>
        </is>
      </c>
      <c r="D28" s="69" t="inlineStr">
        <is>
          <t>Rempli</t>
        </is>
      </c>
    </row>
    <row r="29" ht="25.5" customHeight="1" s="56">
      <c r="A29" s="66" t="inlineStr">
        <is>
          <t>A3.0 Critères de dangerosité</t>
        </is>
      </c>
      <c r="B29" s="71" t="inlineStr">
        <is>
          <t>A3</t>
        </is>
      </c>
      <c r="C29" s="66" t="inlineStr">
        <is>
          <t>Échelles 4 niveaux pour Dépendance, Pénétration, Maturité cyber, Confiance + seuils ANSSI</t>
        </is>
      </c>
      <c r="D29" s="66" t="inlineStr">
        <is>
          <t>Rempli</t>
        </is>
      </c>
    </row>
    <row r="30" ht="25.5" customHeight="1" s="56">
      <c r="A30" s="69" t="inlineStr">
        <is>
          <t>A3.1 Parties prenantes</t>
        </is>
      </c>
      <c r="B30" s="72" t="inlineStr">
        <is>
          <t>A3</t>
        </is>
      </c>
      <c r="C30" s="69" t="inlineStr">
        <is>
          <t>Typologie des 7 PP externes (4 partenaires + 3 prestataires)</t>
        </is>
      </c>
      <c r="D30" s="69" t="inlineStr">
        <is>
          <t>Rempli</t>
        </is>
      </c>
    </row>
    <row r="31" ht="25.5" customHeight="1" s="56">
      <c r="A31" s="66" t="inlineStr">
        <is>
          <t>A3.2 Cartographie dangerosité</t>
        </is>
      </c>
      <c r="B31" s="71" t="inlineStr">
        <is>
          <t>A3</t>
        </is>
      </c>
      <c r="C31" s="66" t="inlineStr">
        <is>
          <t>Évaluation 4 critères, dangerosité calculée, identification des PPC, radar visuel</t>
        </is>
      </c>
      <c r="D31" s="66" t="inlineStr">
        <is>
          <t>Rempli</t>
        </is>
      </c>
    </row>
    <row r="32" ht="25.5" customHeight="1" s="56">
      <c r="A32" s="69" t="inlineStr">
        <is>
          <t>A3.3 Scénarios stratégiques</t>
        </is>
      </c>
      <c r="B32" s="72" t="inlineStr">
        <is>
          <t>A3</t>
        </is>
      </c>
      <c r="C32" s="69" t="inlineStr">
        <is>
          <t>6 scénarios (un par couple Retenu de A2.2) avec chemins d'attaque numérotés</t>
        </is>
      </c>
      <c r="D32" s="69" t="inlineStr">
        <is>
          <t>Rempli</t>
        </is>
      </c>
    </row>
    <row r="33" ht="25.5" customHeight="1" s="56">
      <c r="A33" s="66" t="inlineStr">
        <is>
          <t>A3.4 Mesures écosystème</t>
        </is>
      </c>
      <c r="B33" s="71" t="inlineStr">
        <is>
          <t>A3</t>
        </is>
      </c>
      <c r="C33" s="66" t="inlineStr">
        <is>
          <t>Mesures par PPC avec dangerosité initiale et résiduelle</t>
        </is>
      </c>
      <c r="D33" s="66" t="inlineStr">
        <is>
          <t>Rempli</t>
        </is>
      </c>
    </row>
    <row r="34" ht="91" customHeight="1" s="56">
      <c r="A34" s="69" t="inlineStr">
        <is>
          <t>A4 Scénarios opérationnels</t>
        </is>
      </c>
      <c r="B34" s="72" t="inlineStr">
        <is>
          <t>A4</t>
        </is>
      </c>
      <c r="C34" s="69" t="inlineStr">
        <is>
          <t>Scénarios techniques, vraisemblance V1–V4</t>
        </is>
      </c>
      <c r="D34" s="69" t="inlineStr">
        <is>
          <t>À produire</t>
        </is>
      </c>
    </row>
    <row r="35" ht="79.84999999999999" customHeight="1" s="56">
      <c r="A35" s="66" t="inlineStr">
        <is>
          <t>A5 Traitement du risque</t>
        </is>
      </c>
      <c r="B35" s="71" t="inlineStr">
        <is>
          <t>A5</t>
        </is>
      </c>
      <c r="C35" s="66" t="inlineStr">
        <is>
          <t>Matrice de risque, mesures, plan de remédiation, risque résiduel</t>
        </is>
      </c>
      <c r="D35" s="66" t="inlineStr">
        <is>
          <t>À produire</t>
        </is>
      </c>
    </row>
  </sheetData>
  <mergeCells count="6">
    <mergeCell ref="A17:D17"/>
    <mergeCell ref="A1:D2"/>
    <mergeCell ref="A9:D9"/>
    <mergeCell ref="A6:D6"/>
    <mergeCell ref="A4:D4"/>
    <mergeCell ref="A7:D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C1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70703125" defaultRowHeight="14.25" zeroHeight="0" outlineLevelRow="0"/>
  <cols>
    <col width="4" customWidth="1" style="55" min="1" max="1"/>
    <col width="30" customWidth="1" style="55" min="2" max="2"/>
    <col width="100" customWidth="1" style="55" min="3" max="3"/>
  </cols>
  <sheetData>
    <row r="1" ht="25.5" customHeight="1" s="56">
      <c r="A1" s="73" t="inlineStr">
        <is>
          <t>A1.0 - Cadre et périmètre de l'étude</t>
        </is>
      </c>
    </row>
    <row r="2" ht="25.5" customHeight="1" s="56"/>
    <row r="4" ht="43.5" customHeight="1" s="56">
      <c r="A4" s="60" t="inlineStr">
        <is>
          <t>Sortie attendue de la partie cadrage de l'atelier 1 : description du périmètre métier et technique, et liste des participants (réels ou cibles) de l'analyse de risque.</t>
        </is>
      </c>
      <c r="B4" s="61" t="n"/>
      <c r="C4" s="61" t="n"/>
    </row>
    <row r="6" ht="21.75" customHeight="1" s="56">
      <c r="A6" s="59" t="inlineStr">
        <is>
          <t>Éléments de cadrage</t>
        </is>
      </c>
    </row>
    <row r="7" ht="24" customHeight="1" s="56">
      <c r="A7" s="62" t="n"/>
      <c r="B7" s="62" t="inlineStr">
        <is>
          <t>Élément</t>
        </is>
      </c>
      <c r="C7" s="62" t="inlineStr">
        <is>
          <t>Description</t>
        </is>
      </c>
    </row>
    <row r="8" ht="87.75" customHeight="1" s="56">
      <c r="A8" s="64" t="n">
        <v>1</v>
      </c>
      <c r="B8" s="74" t="inlineStr">
        <is>
          <t>Objet d'étude</t>
        </is>
      </c>
      <c r="C8" s="66" t="inlineStr">
        <is>
          <t>Système d'information de l'université UniCampus+ tel que présenté dans le fichier Projet_07_UniCampus.md et modélisé par  la maquette déployé sur OpenStack : Établissement public d'enseignement supérieur accueillant 12 000 étudiants et 500 personnels (enseignants, administratifs, chercheurs, techniciens), réparti sur plusieurs bâtiments.</t>
        </is>
      </c>
    </row>
    <row r="9" ht="132" customHeight="1" s="56">
      <c r="A9" s="64" t="n">
        <v>2</v>
      </c>
      <c r="B9" s="74" t="inlineStr">
        <is>
          <t>Périmètre métier</t>
        </is>
      </c>
      <c r="C9" s="66" t="inlineStr">
        <is>
          <t>Les trois missions principales de l'organisme que nous couvrons dans cette analyse de risques sont :
  • M1 - Enseignement : formation initiale des 12 000 étudiants ;
  • M2 - Recherche : production scientifique des laboratoires ;
  • M3 - Administration : RH, scolarité administrative, finances.</t>
        </is>
      </c>
    </row>
    <row r="10" ht="132" customHeight="1" s="56">
      <c r="A10" s="64" t="n">
        <v>3</v>
      </c>
      <c r="B10" s="74" t="inlineStr">
        <is>
          <t>Périmètre technique</t>
        </is>
      </c>
      <c r="C10" s="66" t="inlineStr">
        <is>
          <t>Périmètre technique modélisé dans la maquette v1 : 
11 VMs sur un seul subnet (192.168.107.0/24) 
1 firewall périmétrique (`uc-fw-legacy`)
1 VPN d'accès distant (`uc-vpn-legacy`)
5 serveurs applicatifs (Moodle, mail, LDAP, RH, recherche)
1 base de données back-end RH (`uc-db-rh`)
3 postes clients (étudiant, enseignant, DSI)</t>
        </is>
      </c>
    </row>
    <row r="11" ht="153.75" customHeight="1" s="56">
      <c r="A11" s="64" t="n">
        <v>4</v>
      </c>
      <c r="B11" s="74" t="inlineStr">
        <is>
          <t>Participants à l'analyse (cibles en organisation réelle)</t>
        </is>
      </c>
      <c r="C11" s="66" t="inlineStr">
        <is>
          <t xml:space="preserve">  • Équipes métier : direction des études, direction de la recherche, DRH ;
  • RSSI de l'établissement ;
  • DSI : architecte réseau, administrateur systèmes, responsable IAM ;
  • Équipe de gestion documentaire (DPO).
Dans le cadre du projet 4CS08, l'analyse est portée par le groupe projet jouant l'ensemble de ces rôles.</t>
        </is>
      </c>
    </row>
    <row r="12" ht="132" customHeight="1" s="56">
      <c r="A12" s="64" t="n">
        <v>5</v>
      </c>
      <c r="B12" s="74" t="inlineStr">
        <is>
          <t>Cadre normatif et référentiels mobilisés</t>
        </is>
      </c>
      <c r="C12" s="66" t="inlineStr">
        <is>
          <t xml:space="preserve">  • Méthode EBIOS Risk Manager 2018 (ANSSI) ;
  • Guide d'hygiène informatique ANSSI (11 règles citées dans la fiche projet : R4, R7, R8, R9, R10, R13, R22, R25, R31, R35, R40) ;
  • Référentiel RGPD pour les données personnelles (étudiants et personnels) ;
  • ISO/IEC 27005 pour le processus général de gestion des risques.</t>
        </is>
      </c>
    </row>
  </sheetData>
  <mergeCells count="3">
    <mergeCell ref="A4:C4"/>
    <mergeCell ref="A1:C2"/>
    <mergeCell ref="A6:C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19"/>
  <sheetViews>
    <sheetView showFormulas="0" showGridLines="0" showRowColHeaders="1" showZeros="1" rightToLeft="0" tabSelected="0" showOutlineSymbols="1" defaultGridColor="1" view="normal" topLeftCell="A1" colorId="64" zoomScale="100" zoomScaleNormal="100" zoomScalePageLayoutView="100" workbookViewId="0">
      <pane xSplit="0" ySplit="7" topLeftCell="A11" activePane="bottomLeft" state="frozen"/>
      <selection pane="topLeft" activeCell="A1" activeCellId="0" sqref="A1"/>
      <selection pane="bottomLeft" activeCell="E17" activeCellId="0" sqref="E17"/>
    </sheetView>
  </sheetViews>
  <sheetFormatPr baseColWidth="8" defaultColWidth="8.70703125" defaultRowHeight="14.25" zeroHeight="0" outlineLevelRow="0"/>
  <cols>
    <col width="10" customWidth="1" style="55" min="1" max="1"/>
    <col width="28" customWidth="1" style="55" min="2" max="2"/>
    <col width="35" customWidth="1" style="55" min="3" max="3"/>
    <col width="14" customWidth="1" style="55" min="4" max="4"/>
    <col width="60" customWidth="1" style="55" min="5" max="5"/>
  </cols>
  <sheetData>
    <row r="1" ht="25.5" customHeight="1" s="56">
      <c r="A1" s="73" t="inlineStr">
        <is>
          <t>A1.1 - Missions et valeurs métier</t>
        </is>
      </c>
    </row>
    <row r="2" ht="25.5" customHeight="1" s="56"/>
    <row r="4" ht="57.75" customHeight="1" s="56">
      <c r="A4" s="60" t="inlineStr">
        <is>
          <t>Pour chaque mission de l'objet d'étude, lister les valeurs métier (VM) qui la portent. Nature : Processus (activité) ou Information (donnée). Une VM peut être de nature mixte. Convention de codification : Mx pour les missions, VMx.y pour les valeurs métier (x = numéro de mission).</t>
        </is>
      </c>
      <c r="B4" s="61" t="n"/>
      <c r="C4" s="61" t="n"/>
      <c r="D4" s="61" t="n"/>
      <c r="E4" s="61" t="n"/>
    </row>
    <row r="6" ht="21.75" customHeight="1" s="56">
      <c r="A6" s="59" t="inlineStr">
        <is>
          <t>Tableau des missions et valeurs métier</t>
        </is>
      </c>
    </row>
    <row r="7" ht="31.5" customHeight="1" s="56">
      <c r="A7" s="62" t="inlineStr">
        <is>
          <t>Code mission</t>
        </is>
      </c>
      <c r="B7" s="63" t="inlineStr">
        <is>
          <t>Mission</t>
        </is>
      </c>
      <c r="C7" s="62" t="inlineStr">
        <is>
          <t>Valeur métier</t>
        </is>
      </c>
      <c r="D7" s="62" t="inlineStr">
        <is>
          <t>Nature</t>
        </is>
      </c>
      <c r="E7" s="62" t="inlineStr">
        <is>
          <t>Description</t>
        </is>
      </c>
    </row>
    <row r="8" ht="72" customHeight="1" s="56">
      <c r="A8" s="75" t="inlineStr">
        <is>
          <t>M1</t>
        </is>
      </c>
      <c r="B8" s="76" t="inlineStr">
        <is>
          <t>Enseignement  
Assurer la formation des 12000 étudiants et la diffusion des savoirs académiques.</t>
        </is>
      </c>
      <c r="C8" s="77" t="inlineStr">
        <is>
          <t>VM1.1 : Diffusion des contenus pédagogiques</t>
        </is>
      </c>
      <c r="D8" s="71" t="inlineStr">
        <is>
          <t>Processus</t>
        </is>
      </c>
      <c r="E8" s="66" t="inlineStr">
        <is>
          <t>Activité de mise à disposition des cours, supports, devoirs, exercices, corrigés et ressources documentaires aux étudiants, organisée par UE et par promotion, avec dépôt des productions étudiantes (devoirs, examens écrits).</t>
        </is>
      </c>
    </row>
    <row r="9" ht="72" customHeight="1" s="56">
      <c r="A9" s="78" t="n"/>
      <c r="B9" s="78" t="n"/>
      <c r="C9" s="79" t="inlineStr">
        <is>
          <t>VM1.2 : Évaluation et notation</t>
        </is>
      </c>
      <c r="D9" s="72" t="inlineStr">
        <is>
          <t>Processus</t>
        </is>
      </c>
      <c r="E9" s="69" t="inlineStr">
        <is>
          <t>Activité de notation des productions étudiantes, calcul des moyennes, gestion des sessions d'examens et des jurys.</t>
        </is>
      </c>
    </row>
    <row r="10" ht="72" customHeight="1" s="56">
      <c r="A10" s="78" t="n"/>
      <c r="B10" s="78" t="n"/>
      <c r="C10" s="77" t="inlineStr">
        <is>
          <t>VM1.3 : Résultats académiques</t>
        </is>
      </c>
      <c r="D10" s="71" t="inlineStr">
        <is>
          <t>Information</t>
        </is>
      </c>
      <c r="E10" s="66" t="inlineStr">
        <is>
          <t>Notes individuelles, moyennes, validations d'UE, attestations, diplômes : informations à très forte exigence d'intégrité et d'authenticité (opposabilité).</t>
        </is>
      </c>
    </row>
    <row r="11" ht="72" customHeight="1" s="56">
      <c r="A11" s="78" t="n"/>
      <c r="B11" s="78" t="n"/>
      <c r="C11" s="79" t="inlineStr">
        <is>
          <t>VM1.4 : Communication pédagogique</t>
        </is>
      </c>
      <c r="D11" s="72" t="inlineStr">
        <is>
          <t>Processus</t>
        </is>
      </c>
      <c r="E11" s="69" t="inlineStr">
        <is>
          <t>Échanges quotidiens entre enseignants, étudiants et services de scolarité via messagerie et listes de diffusion (annonces, convocations, conventions).</t>
        </is>
      </c>
    </row>
    <row r="12" ht="90" customHeight="1" s="56">
      <c r="A12" s="80" t="n"/>
      <c r="B12" s="80" t="n"/>
      <c r="C12" s="79" t="inlineStr">
        <is>
          <t>VM1.5 : Accès aux ressources documentaires</t>
        </is>
      </c>
      <c r="D12" s="72" t="inlineStr">
        <is>
          <t>Processus</t>
        </is>
      </c>
      <c r="E12" s="69" t="inlineStr">
        <is>
          <t>Accès des étudiants, enseignants et chercheurs à la bibliothèque numérique : bases bibliographiques, revues scientifiques, ouvrages en ligne, archives ouvertes. NON INSTRUMENTÉE DANS LA MAQUETTE V1 et déclarée pour complétude du périmètre métier — service généralement externalisé via Couperin / Cairn / EBSCO, donc dépendant d'une partie prenante externe qui sera traitée à l'atelier 3.</t>
        </is>
      </c>
    </row>
    <row r="13" ht="72" customHeight="1" s="56">
      <c r="A13" s="75" t="inlineStr">
        <is>
          <t>M2</t>
        </is>
      </c>
      <c r="B13" s="76" t="inlineStr">
        <is>
          <t>Recherche 
Produire, partager et diffuser de la connaissance scientifique au sein des laboratoires, en collaboration avec des partenaires académiques et industriels.</t>
        </is>
      </c>
      <c r="C13" s="77" t="inlineStr">
        <is>
          <t>VM2.1 : Conduite des activités de recherche</t>
        </is>
      </c>
      <c r="D13" s="71" t="inlineStr">
        <is>
          <t>Processus</t>
        </is>
      </c>
      <c r="E13" s="66" t="inlineStr">
        <is>
          <t>Activité scientifique réalisée par les enseignants-chercheurs et chercheurs : conception d'expériences, calcul scientifique (notebooks, simulations), traitement et analyse de données.</t>
        </is>
      </c>
    </row>
    <row r="14" ht="72" customHeight="1" s="56">
      <c r="A14" s="78" t="n"/>
      <c r="B14" s="78" t="n"/>
      <c r="C14" s="79" t="inlineStr">
        <is>
          <t>VM2.2 : Patrimoine scientifique</t>
        </is>
      </c>
      <c r="D14" s="72" t="inlineStr">
        <is>
          <t>Information</t>
        </is>
      </c>
      <c r="E14" s="69" t="inlineStr">
        <is>
          <t>Données expérimentales brutes et traitées, codes et notebooks, articles en cours de rédaction, résultats préliminaires non publiés, antériorités brevetables. Confidentialité critique.</t>
        </is>
      </c>
    </row>
    <row r="15" ht="72" customHeight="1" s="56">
      <c r="A15" s="80" t="n"/>
      <c r="B15" s="80" t="n"/>
      <c r="C15" s="77" t="inlineStr">
        <is>
          <t>VM2.3 : Collaboration et diffusion scientifique</t>
        </is>
      </c>
      <c r="D15" s="71" t="inlineStr">
        <is>
          <t>Processus</t>
        </is>
      </c>
      <c r="E15" s="66" t="inlineStr">
        <is>
          <t>Échanges avec partenaires académiques (laboratoires associés) et industriels (financements, contrats de recherche), publications, dépôts de brevets, communications scientifiques.</t>
        </is>
      </c>
    </row>
    <row r="16" ht="72" customHeight="1" s="56">
      <c r="A16" s="75" t="inlineStr">
        <is>
          <t>M3</t>
        </is>
      </c>
      <c r="B16" s="76" t="inlineStr">
        <is>
          <t>Administration 
Gérer les ressources humaines (paie, contrats), la scolarité administrative et les fonctions financières de l'établissement.</t>
        </is>
      </c>
      <c r="C16" s="79" t="inlineStr">
        <is>
          <t>VM3.1 : Gestion des ressources humaines</t>
        </is>
      </c>
      <c r="D16" s="72" t="inlineStr">
        <is>
          <t>Processus</t>
        </is>
      </c>
      <c r="E16" s="69" t="inlineStr">
        <is>
          <t>Activité administrative comprenant : production de la paie mensuelle, gestion des contrats de travail, suivi des carrières, gestion des absences et congés, tenue des dossiers individuels du personnel.</t>
        </is>
      </c>
    </row>
    <row r="17" ht="72" customHeight="1" s="56">
      <c r="A17" s="78" t="n"/>
      <c r="B17" s="78" t="n"/>
      <c r="C17" s="77" t="inlineStr">
        <is>
          <t>VM3.2 : Données personnelles et contractuelles</t>
        </is>
      </c>
      <c r="D17" s="71" t="inlineStr">
        <is>
          <t>Information</t>
        </is>
      </c>
      <c r="E17" s="66" t="inlineStr">
        <is>
          <t>Données personnelles (identité, NIR, RIB, adresse, situation familiale) et contractuelles (salaire, grade, ancienneté) des 500 personnels. Données soumises au RGPD avec base légale d'exécution du contrat de travail.</t>
        </is>
      </c>
    </row>
    <row r="18" ht="72" customHeight="1" s="56">
      <c r="A18" s="78" t="n"/>
      <c r="B18" s="78" t="n"/>
      <c r="C18" s="79" t="inlineStr">
        <is>
          <t>VM3.3 : Gestion administrative des étudiants (scolarité)</t>
        </is>
      </c>
      <c r="D18" s="72" t="inlineStr">
        <is>
          <t>Processus</t>
        </is>
      </c>
      <c r="E18" s="69" t="inlineStr">
        <is>
          <t>Inscriptions administratives, gestion des conventions de stage, des bourses, des certificats de scolarité, des transferts de dossier. NON INSTRUMENTÉE DANS LA MAQUETTE V1 et déclarée pour complétude du périmètre métier.</t>
        </is>
      </c>
    </row>
    <row r="19" ht="45.75" customHeight="1" s="56">
      <c r="A19" s="80" t="n"/>
      <c r="B19" s="80" t="n"/>
      <c r="C19" s="77" t="inlineStr">
        <is>
          <t>VM3.4 : Gestion financière et comptable</t>
        </is>
      </c>
      <c r="D19" s="71" t="inlineStr">
        <is>
          <t>Processus</t>
        </is>
      </c>
      <c r="E19" s="66" t="inlineStr">
        <is>
          <t>Comptabilité générale, traitement des dépenses et recettes, gestion des marchés publics, relations avec l'agent comptable. NON INSTRUMENTÉE DANS LA MAQUETTE V1  et déclarée pour complétude du périmètre métier.</t>
        </is>
      </c>
    </row>
  </sheetData>
  <mergeCells count="9">
    <mergeCell ref="A4:E4"/>
    <mergeCell ref="B8:B12"/>
    <mergeCell ref="A8:A12"/>
    <mergeCell ref="B13:B15"/>
    <mergeCell ref="A1:E2"/>
    <mergeCell ref="A6:E6"/>
    <mergeCell ref="B16:B19"/>
    <mergeCell ref="A13:A15"/>
    <mergeCell ref="A16:A1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20"/>
  <sheetViews>
    <sheetView showFormulas="0" showGridLines="0" showRowColHeaders="1" showZeros="1" rightToLeft="0" tabSelected="0" showOutlineSymbols="1" defaultGridColor="1" view="normal" topLeftCell="A1" colorId="64" zoomScale="100" zoomScaleNormal="100" zoomScalePageLayoutView="100" workbookViewId="0">
      <pane xSplit="0" ySplit="7" topLeftCell="A15" activePane="bottomLeft" state="frozen"/>
      <selection pane="topLeft" activeCell="A1" activeCellId="0" sqref="A1"/>
      <selection pane="bottomLeft" activeCell="C25" activeCellId="0" sqref="C25"/>
    </sheetView>
  </sheetViews>
  <sheetFormatPr baseColWidth="8" defaultColWidth="8.70703125" defaultRowHeight="14.25" zeroHeight="0" outlineLevelRow="0"/>
  <cols>
    <col width="8" customWidth="1" style="55" min="1" max="1"/>
    <col width="32" customWidth="1" style="55" min="2" max="2"/>
    <col width="60" customWidth="1" style="55" min="3" max="3"/>
    <col width="18" customWidth="1" style="55" min="4" max="5"/>
    <col width="16" customWidth="1" style="55" min="6" max="6"/>
  </cols>
  <sheetData>
    <row r="1" ht="25.5" customHeight="1" s="56">
      <c r="A1" s="73" t="inlineStr">
        <is>
          <t>A1.2 - Biens supports</t>
        </is>
      </c>
    </row>
    <row r="2" ht="25.5" customHeight="1" s="56"/>
    <row r="4" ht="57.75" customHeight="1" s="56">
      <c r="A4" s="60" t="inlineStr">
        <is>
          <t>Pour chaque valeur métier, identifier les biens supports (systèmes, applications, réseaux, postes, locaux, contrats…) qui la portent. Un même bien support peut servir plusieurs VM (« transverse »). Le responsable est l'entité ou la personne (interne ou externe) en charge de l'exploitation du bien.</t>
        </is>
      </c>
      <c r="B4" s="61" t="n"/>
      <c r="C4" s="61" t="n"/>
      <c r="D4" s="61" t="n"/>
      <c r="E4" s="61" t="n"/>
      <c r="F4" s="61" t="n"/>
    </row>
    <row r="6" ht="21.75" customHeight="1" s="56">
      <c r="A6" s="59" t="inlineStr">
        <is>
          <t>Tableau des biens supports</t>
        </is>
      </c>
    </row>
    <row r="7" ht="31.5" customHeight="1" s="56">
      <c r="A7" s="62" t="inlineStr">
        <is>
          <t>Code BS</t>
        </is>
      </c>
      <c r="B7" s="62" t="inlineStr">
        <is>
          <t>Dénomination</t>
        </is>
      </c>
      <c r="C7" s="62" t="inlineStr">
        <is>
          <t>Description</t>
        </is>
      </c>
      <c r="D7" s="62" t="inlineStr">
        <is>
          <t>VM associée(s)</t>
        </is>
      </c>
      <c r="E7" s="62" t="inlineStr">
        <is>
          <t>Responsable</t>
        </is>
      </c>
      <c r="F7" s="62" t="inlineStr">
        <is>
          <t>Interne / Externe</t>
        </is>
      </c>
    </row>
    <row r="8" ht="72" customHeight="1" s="56">
      <c r="A8" s="64" t="inlineStr">
        <is>
          <t>BS01</t>
        </is>
      </c>
      <c r="B8" s="66" t="inlineStr">
        <is>
          <t>Plateforme Moodle (`uc-srv-moodle`)</t>
        </is>
      </c>
      <c r="C8" s="66" t="inlineStr">
        <is>
          <t>Serveur applicatif Apache + PHP avec base MariaDB locale (instance liée à 127.0.0.1), hébergeant les espaces de cours, le dépôt de devoirs, les modules d'évaluation. Exposé en façade Internet via HTTP.</t>
        </is>
      </c>
      <c r="D8" s="66" t="inlineStr">
        <is>
          <t>VM1.1, VM1.2</t>
        </is>
      </c>
      <c r="E8" s="66" t="inlineStr">
        <is>
          <t>DSI</t>
        </is>
      </c>
      <c r="F8" s="71" t="inlineStr">
        <is>
          <t>Interne</t>
        </is>
      </c>
    </row>
    <row r="9" ht="72" customHeight="1" s="56">
      <c r="A9" s="68" t="inlineStr">
        <is>
          <t>BS02</t>
        </is>
      </c>
      <c r="B9" s="69" t="inlineStr">
        <is>
          <t>Base de données Moodle (intégrée à `uc-srv-moodle`)</t>
        </is>
      </c>
      <c r="C9" s="69" t="inlineStr">
        <is>
          <t>Instance `mariadb-server` locale stockant les comptes utilisateurs (table `mdl_user`, hash bcrypt) et les notes (tables `mdl_grade_*`). Bind sur la boucle locale uniquement.</t>
        </is>
      </c>
      <c r="D9" s="69" t="inlineStr">
        <is>
          <t>VM1.3</t>
        </is>
      </c>
      <c r="E9" s="69" t="inlineStr">
        <is>
          <t>DSI</t>
        </is>
      </c>
      <c r="F9" s="72" t="inlineStr">
        <is>
          <t>Interne</t>
        </is>
      </c>
    </row>
    <row r="10" ht="72" customHeight="1" s="56">
      <c r="A10" s="64" t="inlineStr">
        <is>
          <t>BS03</t>
        </is>
      </c>
      <c r="B10" s="66" t="inlineStr">
        <is>
          <t>Serveur de messagerie (`uc-srv-mail`)</t>
        </is>
      </c>
      <c r="C10" s="66" t="inlineStr">
        <is>
          <t>Postfix (SMTP/25), Dovecot (IMAP/143, POP3/110), comptes Unix locaux + Dovecot, hash crypt. Exposé en façade Internet pour SMTP et IMAP.</t>
        </is>
      </c>
      <c r="D10" s="66" t="inlineStr">
        <is>
          <t>VM1.4, VM2.3, VM3.1 (transverse)</t>
        </is>
      </c>
      <c r="E10" s="66" t="inlineStr">
        <is>
          <t>DSI</t>
        </is>
      </c>
      <c r="F10" s="71" t="inlineStr">
        <is>
          <t>Interne</t>
        </is>
      </c>
    </row>
    <row r="11" ht="72" customHeight="1" s="56">
      <c r="A11" s="68" t="inlineStr">
        <is>
          <t>BS04</t>
        </is>
      </c>
      <c r="B11" s="69" t="inlineStr">
        <is>
          <t>Annuaire d'identité LDAP (`uc-srv-ldap`)</t>
        </is>
      </c>
      <c r="C11" s="69" t="inlineStr">
        <is>
          <t>OpenLDAP (slapd), suffix `dc=unicampus,dc=local`, OUs `people` et `groups`. Référentiel des comptes étudiants, enseignants, chercheurs, administratifs et DSI. Bind anonyme autorisé, TLS non configuré.</t>
        </is>
      </c>
      <c r="D11" s="69" t="inlineStr">
        <is>
          <t>Transverse (M1, M2, M3)</t>
        </is>
      </c>
      <c r="E11" s="69" t="inlineStr">
        <is>
          <t>DSI</t>
        </is>
      </c>
      <c r="F11" s="72" t="inlineStr">
        <is>
          <t>Interne</t>
        </is>
      </c>
    </row>
    <row r="12" ht="72" customHeight="1" s="56">
      <c r="A12" s="64" t="inlineStr">
        <is>
          <t>BS05</t>
        </is>
      </c>
      <c r="B12" s="66" t="inlineStr">
        <is>
          <t>Serveur de calcul et stockage de recherche (`uc-calc-recherche`)</t>
        </is>
      </c>
      <c r="C12" s="66" t="inlineStr">
        <is>
          <t>Cumule : NFS (port 2049 + rpcbind 111) et Samba (445, 139) pour le partage de fichiers scientifiques, Jupyter (8888) pour les notebooks, PostgreSQL local (127.0.0.1:5432) pour les bases scientifiques.</t>
        </is>
      </c>
      <c r="D12" s="66" t="inlineStr">
        <is>
          <t>VM2.1, VM2.2</t>
        </is>
      </c>
      <c r="E12" s="66" t="inlineStr">
        <is>
          <t>DSI + Laboratoires (consommateurs)</t>
        </is>
      </c>
      <c r="F12" s="71" t="inlineStr">
        <is>
          <t>Interne</t>
        </is>
      </c>
    </row>
    <row r="13" ht="72" customHeight="1" s="56">
      <c r="A13" s="68" t="inlineStr">
        <is>
          <t>BS06</t>
        </is>
      </c>
      <c r="B13" s="69" t="inlineStr">
        <is>
          <t>Application web RH (`uc-web-rh`)</t>
        </is>
      </c>
      <c r="C13" s="69" t="inlineStr">
        <is>
          <t>Application Apache + PHP exposant l'interface de gestion RH, communiquant avec `uc-db-rh` sur le port 3306. Pas d'exposition Internet directe : accessible uniquement depuis le réseau interne.</t>
        </is>
      </c>
      <c r="D13" s="69" t="inlineStr">
        <is>
          <t>VM3.1</t>
        </is>
      </c>
      <c r="E13" s="69" t="inlineStr">
        <is>
          <t>DSI</t>
        </is>
      </c>
      <c r="F13" s="72" t="inlineStr">
        <is>
          <t>Interne</t>
        </is>
      </c>
    </row>
    <row r="14" ht="72" customHeight="1" s="56">
      <c r="A14" s="64" t="inlineStr">
        <is>
          <t>BS07</t>
        </is>
      </c>
      <c r="B14" s="66" t="inlineStr">
        <is>
          <t>Base de données RH (`uc-db-rh`)</t>
        </is>
      </c>
      <c r="C14" s="66" t="inlineStr">
        <is>
          <t>Instance MariaDB stockant les comptes (hash SHA1, sans politique de mot de passe) et les données RH des 500 personnels. Écoute sur toutes les interfaces (`0.0.0.0:3306`).</t>
        </is>
      </c>
      <c r="D14" s="66" t="inlineStr">
        <is>
          <t>VM3.2</t>
        </is>
      </c>
      <c r="E14" s="66" t="inlineStr">
        <is>
          <t>DSI</t>
        </is>
      </c>
      <c r="F14" s="71" t="inlineStr">
        <is>
          <t>Interne</t>
        </is>
      </c>
    </row>
    <row r="15" ht="72" customHeight="1" s="56">
      <c r="A15" s="68" t="inlineStr">
        <is>
          <t>BS08</t>
        </is>
      </c>
      <c r="B15" s="69" t="inlineStr">
        <is>
          <t>Poste étudiant (`uc-poste-etu`)</t>
        </is>
      </c>
      <c r="C15" s="69" t="inlineStr">
        <is>
          <t>Poste de salle informatique (Kali Linux dans la maquette pour démonstration). Connecté en DHCP sur le réseau campus.</t>
        </is>
      </c>
      <c r="D15" s="69" t="inlineStr">
        <is>
          <t>VM1.1, VM1.4</t>
        </is>
      </c>
      <c r="E15" s="69" t="inlineStr">
        <is>
          <t>DSI + utilisateur étudiant</t>
        </is>
      </c>
      <c r="F15" s="72" t="inlineStr">
        <is>
          <t>Interne</t>
        </is>
      </c>
    </row>
    <row r="16" ht="72" customHeight="1" s="56">
      <c r="A16" s="64" t="inlineStr">
        <is>
          <t>BS09</t>
        </is>
      </c>
      <c r="B16" s="66" t="inlineStr">
        <is>
          <t>Poste enseignant et enseignant-chercheur (`uc-poste-prof`)</t>
        </is>
      </c>
      <c r="C16" s="66" t="inlineStr">
        <is>
          <t>Poste de travail Ubuntu Desktop 22.04. Cumule les rôles enseignant et enseignant-chercheur (mêmes credentials Moodle et recherche)</t>
        </is>
      </c>
      <c r="D16" s="66" t="inlineStr">
        <is>
          <t>VM1.1, VM1.2, VM2.1, VM2.2, VM1.4</t>
        </is>
      </c>
      <c r="E16" s="66" t="inlineStr">
        <is>
          <t>DSI + utilisateur enseignant</t>
        </is>
      </c>
      <c r="F16" s="71" t="inlineStr">
        <is>
          <t>Interne</t>
        </is>
      </c>
    </row>
    <row r="17" ht="72" customHeight="1" s="56">
      <c r="A17" s="68" t="inlineStr">
        <is>
          <t>BS10</t>
        </is>
      </c>
      <c r="B17" s="69" t="inlineStr">
        <is>
          <t>Poste administratif et DSI (`uc-poste-dsi`)</t>
        </is>
      </c>
      <c r="C17" s="69" t="inlineStr">
        <is>
          <t>Poste de travail Ubuntu Desktop 22.04 cumulant les rôles administration et DSI. Stocke en clair la clé SSH privée d'administration (`/home/ubuntu/.ssh/`). Fusion explicite de `uc-poste-admin` et du poste DSI dans la maquette v1.</t>
        </is>
      </c>
      <c r="D17" s="69" t="inlineStr">
        <is>
          <t>VM3.1 + administration transverse</t>
        </is>
      </c>
      <c r="E17" s="69" t="inlineStr">
        <is>
          <t>DSI + services administratifs</t>
        </is>
      </c>
      <c r="F17" s="72" t="inlineStr">
        <is>
          <t>Interne</t>
        </is>
      </c>
    </row>
    <row r="18" ht="72" customHeight="1" s="56">
      <c r="A18" s="64" t="inlineStr">
        <is>
          <t>BS11</t>
        </is>
      </c>
      <c r="B18" s="66" t="inlineStr">
        <is>
          <t>Passerelle périmétrique (`uc-fw-legacy`)</t>
        </is>
      </c>
      <c r="C18" s="66" t="inlineStr">
        <is>
          <t>Pare-feu historique Debian 10 avec iptables et `net.ipv4.ip_forward=1`. Politique INPUT/FORWARD/OUTPUT en ACCEPT, tables vidées, règle résiduelle d'écoute 8080/TCP. Floating IP exposant SSH d'administration.</t>
        </is>
      </c>
      <c r="D18" s="66" t="inlineStr">
        <is>
          <t>Transverse (M1, M2, M3)</t>
        </is>
      </c>
      <c r="E18" s="66" t="inlineStr">
        <is>
          <t>DSI</t>
        </is>
      </c>
      <c r="F18" s="71" t="inlineStr">
        <is>
          <t>Interne</t>
        </is>
      </c>
    </row>
    <row r="19" ht="72" customHeight="1" s="56">
      <c r="A19" s="68" t="inlineStr">
        <is>
          <t>BS12</t>
        </is>
      </c>
      <c r="B19" s="69" t="inlineStr">
        <is>
          <t>Accès distant VPN (`uc-vpn-legacy`)</t>
        </is>
      </c>
      <c r="C19" s="69" t="inlineStr">
        <is>
          <t>Serveur VPN Ubuntu 22.04 / `pptpd` (port 1723/TCP + GRE proto 47). Authentification CHAP via `/etc/ppp/chap-secrets`, compte partagé `campus` / `unicampus2024`, chiffrement MPPE-128 (RC4 déprécié), aucun MFA.</t>
        </is>
      </c>
      <c r="D19" s="69" t="inlineStr">
        <is>
          <t>VM2.1, VM2.3 (recherche) ; potentiellement transverse pour le télétravail</t>
        </is>
      </c>
      <c r="E19" s="69" t="inlineStr">
        <is>
          <t>DSI</t>
        </is>
      </c>
      <c r="F19" s="72" t="inlineStr">
        <is>
          <t>Interne</t>
        </is>
      </c>
    </row>
    <row r="20" ht="72" customHeight="1" s="56">
      <c r="A20" s="64" t="inlineStr">
        <is>
          <t>BS13</t>
        </is>
      </c>
      <c r="B20" s="66" t="inlineStr">
        <is>
          <t>Réseau campus (`uc-net-campus`)</t>
        </is>
      </c>
      <c r="C20" s="66" t="inlineStr">
        <is>
          <t>Unique sous-réseau interne : 192.168.107.0/24, gateway 192.168.107.1, DHCP 192.168.107.100–200. Aucun cloisonnement (étudiants, enseignants, serveurs, recherche partagent le même VLAN).</t>
        </is>
      </c>
      <c r="D20" s="66" t="inlineStr">
        <is>
          <t>Transverse (M1, M2, M3)</t>
        </is>
      </c>
      <c r="E20" s="66" t="inlineStr">
        <is>
          <t>DSI</t>
        </is>
      </c>
      <c r="F20" s="71" t="inlineStr">
        <is>
          <t>Interne</t>
        </is>
      </c>
    </row>
  </sheetData>
  <mergeCells count="3">
    <mergeCell ref="A6:F6"/>
    <mergeCell ref="A1:F2"/>
    <mergeCell ref="A4:F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3"/>
  <sheetViews>
    <sheetView showFormulas="0" showGridLines="0" showRowColHeaders="1" showZeros="1" rightToLeft="0" tabSelected="1"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D7" activeCellId="0" sqref="D7"/>
    </sheetView>
  </sheetViews>
  <sheetFormatPr baseColWidth="8" defaultColWidth="8.70703125" defaultRowHeight="14.25" zeroHeight="0" outlineLevelRow="0"/>
  <cols>
    <col width="8" customWidth="1" style="55" min="1" max="1"/>
    <col width="20" customWidth="1" style="55" min="2" max="2"/>
    <col width="32" customWidth="1" style="55" min="3" max="5"/>
    <col width="22" customWidth="1" style="55" min="6" max="6"/>
    <col width="32" customWidth="1" style="55" min="7" max="7"/>
  </cols>
  <sheetData>
    <row r="1" ht="25.5" customHeight="1" s="56">
      <c r="A1" s="57" t="inlineStr">
        <is>
          <t>A1.3 - Échelle de gravité (G1 à G4)</t>
        </is>
      </c>
    </row>
    <row r="2" ht="25.5" customHeight="1" s="56"/>
    <row r="4" ht="72" customHeight="1" s="56">
      <c r="A4" s="60" t="inlineStr">
        <is>
          <t>Échelle calibrée pour UniCampus+ selon les axes de la slide 21 du cours : impact sur les missions/activités, sur les personnes et données, sur l'image et la gouvernance, financier, juridique. Les seuils numériques sont indicatifs et doivent être validés par la direction lors de l'analyse réelle. Cette échelle est utilisée à l'atelier 1 pour coter les événements redoutés et à l'atelier 3 pour les scénarios stratégiques.</t>
        </is>
      </c>
      <c r="B4" s="61" t="n"/>
      <c r="C4" s="61" t="n"/>
      <c r="D4" s="61" t="n"/>
      <c r="E4" s="61" t="n"/>
      <c r="F4" s="61" t="n"/>
      <c r="G4" s="61" t="n"/>
    </row>
    <row r="6" ht="21.75" customHeight="1" s="56">
      <c r="A6" s="59" t="inlineStr">
        <is>
          <t>Échelle de gravité multi-dimensionnelle</t>
        </is>
      </c>
    </row>
    <row r="7" ht="36" customHeight="1" s="56">
      <c r="A7" s="62" t="inlineStr">
        <is>
          <t>Niveau</t>
        </is>
      </c>
      <c r="B7" s="62" t="inlineStr">
        <is>
          <t>Libellé</t>
        </is>
      </c>
      <c r="C7" s="62" t="inlineStr">
        <is>
          <t>Missions / activité</t>
        </is>
      </c>
      <c r="D7" s="62" t="inlineStr">
        <is>
          <t>Personnes &amp; données</t>
        </is>
      </c>
      <c r="E7" s="62" t="inlineStr">
        <is>
          <t>Image &amp; gouvernance</t>
        </is>
      </c>
      <c r="F7" s="62" t="inlineStr">
        <is>
          <t>Finances</t>
        </is>
      </c>
      <c r="G7" s="62" t="inlineStr">
        <is>
          <t>Juridique</t>
        </is>
      </c>
    </row>
    <row r="8" ht="96" customHeight="1" s="56">
      <c r="A8" s="81" t="inlineStr">
        <is>
          <t>G4</t>
        </is>
      </c>
      <c r="B8" s="82" t="inlineStr">
        <is>
          <t>Critique - survie menacée</t>
        </is>
      </c>
      <c r="C8" s="83" t="inlineStr">
        <is>
          <t>Arrêt &gt; 1 semaine d'un service vital (Moodle en période d'examens, paie) OU perte irrémédiable de données</t>
        </is>
      </c>
      <c r="D8" s="83" t="inlineStr">
        <is>
          <t>Fuite &gt; 1 000 personnes OU données sensibles (NIR, santé, RIB) OU atteinte à l'intégrité physique</t>
        </is>
      </c>
      <c r="E8" s="83" t="inlineStr">
        <is>
          <t>Décision de fermeture par la tutelle, mise sous tutelle, démission du président</t>
        </is>
      </c>
      <c r="F8" s="83" t="inlineStr">
        <is>
          <t>&gt; 1 M€ ou &gt; 4 % du budget annuel</t>
        </is>
      </c>
      <c r="G8" s="83" t="inlineStr">
        <is>
          <t>Sanction CNIL majeure, plaintes pénales massives</t>
        </is>
      </c>
    </row>
    <row r="9" ht="96" customHeight="1" s="56">
      <c r="A9" s="84" t="inlineStr">
        <is>
          <t>G3</t>
        </is>
      </c>
      <c r="B9" s="85" t="inlineStr">
        <is>
          <t>Grave - mode très dégradé</t>
        </is>
      </c>
      <c r="C9" s="86" t="inlineStr">
        <is>
          <t>Indisponibilité 1 à 7 jours d'un service critique ; perte de données récupérables avec effort</t>
        </is>
      </c>
      <c r="D9" s="86" t="inlineStr">
        <is>
          <t>Fuite 100 à 1 000 personnes OU données personnelles ordinaires d'identification</t>
        </is>
      </c>
      <c r="E9" s="86" t="inlineStr">
        <is>
          <t>Couverture presse nationale, perte de confiance partenaires industriels ou ministère</t>
        </is>
      </c>
      <c r="F9" s="86" t="inlineStr">
        <is>
          <t>100 k€ – 1 M€</t>
        </is>
      </c>
      <c r="G9" s="86" t="inlineStr">
        <is>
          <t>Sanction CNIL significative, contentieux RH ou étudiant</t>
        </is>
      </c>
    </row>
    <row r="10" ht="96" customHeight="1" s="56">
      <c r="A10" s="87" t="inlineStr">
        <is>
          <t>G2</t>
        </is>
      </c>
      <c r="B10" s="88" t="inlineStr">
        <is>
          <t>Significative - mode dégradé</t>
        </is>
      </c>
      <c r="C10" s="89" t="inlineStr">
        <is>
          <t>Indisponibilité &lt; 24 h, contournements possibles</t>
        </is>
      </c>
      <c r="D10" s="89" t="inlineStr">
        <is>
          <t>Fuite &lt; 100 personnes, données non sensibles</t>
        </is>
      </c>
      <c r="E10" s="89" t="inlineStr">
        <is>
          <t>Communication interne nécessaire, plaintes localisées</t>
        </is>
      </c>
      <c r="F10" s="89" t="inlineStr">
        <is>
          <t>10 k€ – 100 k€</t>
        </is>
      </c>
      <c r="G10" s="89" t="inlineStr">
        <is>
          <t>Notification CNIL simple, pas de sanction prévisible</t>
        </is>
      </c>
    </row>
    <row r="11" ht="96" customHeight="1" s="56">
      <c r="A11" s="90" t="inlineStr">
        <is>
          <t>G1</t>
        </is>
      </c>
      <c r="B11" s="91" t="inlineStr">
        <is>
          <t>Mineure - pas d'impact opérationnel</t>
        </is>
      </c>
      <c r="C11" s="92" t="inlineStr">
        <is>
          <t>Incident résorbé sans perte de service utilisateur</t>
        </is>
      </c>
      <c r="D11" s="92" t="inlineStr">
        <is>
          <t>Aucune fuite ou fuite sans donnée personnelle</t>
        </is>
      </c>
      <c r="E11" s="92" t="inlineStr">
        <is>
          <t>Aucun impact externe</t>
        </is>
      </c>
      <c r="F11" s="92" t="inlineStr">
        <is>
          <t>&lt; 10 k€</t>
        </is>
      </c>
      <c r="G11" s="92" t="inlineStr">
        <is>
          <t>Aucun</t>
        </is>
      </c>
    </row>
    <row r="13" ht="57.75" customHeight="1" s="56">
      <c r="A13" s="60" t="inlineStr">
        <is>
          <t>Référence : slide 27 du cours 4CS08 (échelle de sévérité EBIOS RM) ; les libellés G1 Mineure / G2 Significative / G3 Grave / G4 Critique sont ceux de la méthode ANSSI. Les colonnes Missions, Personnes, Image, Finances, Juridique déclinent les six axes de répercussion de la slide 21 (image et gouvernance fusionnées ici pour la lisibilité).</t>
        </is>
      </c>
      <c r="B13" s="61" t="n"/>
      <c r="C13" s="61" t="n"/>
      <c r="D13" s="61" t="n"/>
      <c r="E13" s="61" t="n"/>
      <c r="F13" s="61" t="n"/>
      <c r="G13" s="61" t="n"/>
    </row>
  </sheetData>
  <mergeCells count="4">
    <mergeCell ref="A13:G13"/>
    <mergeCell ref="A6:G6"/>
    <mergeCell ref="A1:G2"/>
    <mergeCell ref="A4:G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18"/>
  <sheetViews>
    <sheetView showFormulas="0" showGridLines="0" showRowColHeaders="1" showZeros="1" rightToLeft="0" tabSelected="0"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70703125" defaultRowHeight="14.25" zeroHeight="0" outlineLevelRow="0"/>
  <cols>
    <col width="28" customWidth="1" style="55" min="1" max="1"/>
    <col width="9" customWidth="1" style="55" min="2" max="2"/>
    <col width="45" customWidth="1" style="55" min="3" max="3"/>
    <col width="50" customWidth="1" style="55" min="4" max="4"/>
    <col width="14" customWidth="1" style="55" min="5" max="5"/>
    <col width="10" customWidth="1" style="55" min="6" max="8"/>
  </cols>
  <sheetData>
    <row r="1" ht="25.5" customHeight="1" s="56">
      <c r="A1" s="57" t="inlineStr">
        <is>
          <t>A1.4 - Événements redoutés et niveau de gravité</t>
        </is>
      </c>
      <c r="F1" s="93" t="n"/>
      <c r="G1" s="93" t="n"/>
      <c r="H1" s="93" t="n"/>
    </row>
    <row r="2" ht="25.5" customHeight="1" s="56">
      <c r="F2" s="93" t="n"/>
      <c r="G2" s="93" t="n"/>
      <c r="H2" s="93" t="n"/>
    </row>
    <row r="3" ht="14.25" customHeight="1" s="56">
      <c r="A3" s="93" t="n"/>
      <c r="B3" s="93" t="n"/>
      <c r="C3" s="93" t="n"/>
      <c r="D3" s="93" t="n"/>
      <c r="E3" s="93" t="n"/>
      <c r="F3" s="93" t="n"/>
      <c r="G3" s="93" t="n"/>
      <c r="H3" s="93" t="n"/>
    </row>
    <row r="4" ht="78" customHeight="1" s="56">
      <c r="A4" s="60" t="inlineStr">
        <is>
          <t>Liste des événements redoutés (ER) identifiés au regard des valeurs métier listées en A1.1 et cotés sur l'échelle de gravité de A1.3. Chaque ER est formulé en termes métier (sans description technique) ; les scénarios techniques associés sont produits à l'atelier 4. Les catégories d'impact sont issues des six axes de répercussion EBIOS RM (missions, personnes, gouvernance, finances, juridique, image), enrichis ici de la catégorie « patrimoine intellectuel » pour la mission Recherche.</t>
        </is>
      </c>
      <c r="B4" s="61" t="n"/>
      <c r="C4" s="61" t="n"/>
      <c r="D4" s="61" t="n"/>
      <c r="E4" s="61" t="n"/>
      <c r="F4" s="93" t="n"/>
      <c r="G4" s="93" t="n"/>
      <c r="H4" s="93" t="n"/>
    </row>
    <row r="5" ht="14.25" customHeight="1" s="56">
      <c r="A5" s="93" t="n"/>
      <c r="B5" s="93" t="n"/>
      <c r="C5" s="93" t="n"/>
      <c r="D5" s="93" t="n"/>
      <c r="E5" s="93" t="n"/>
      <c r="F5" s="93" t="n"/>
      <c r="G5" s="93" t="n"/>
      <c r="H5" s="93" t="n"/>
    </row>
    <row r="6" ht="21.75" customHeight="1" s="56">
      <c r="A6" s="94" t="inlineStr">
        <is>
          <t>Liste des événements redoutés</t>
        </is>
      </c>
      <c r="F6" s="93" t="n"/>
      <c r="G6" s="93" t="n"/>
      <c r="H6" s="93" t="n"/>
    </row>
    <row r="7" ht="31.5" customHeight="1" s="56">
      <c r="A7" s="62" t="inlineStr">
        <is>
          <t>Valeur métier</t>
        </is>
      </c>
      <c r="B7" s="62" t="inlineStr">
        <is>
          <t>Code ER</t>
        </is>
      </c>
      <c r="C7" s="62" t="inlineStr">
        <is>
          <t>Événement redouté</t>
        </is>
      </c>
      <c r="D7" s="62" t="inlineStr">
        <is>
          <t>Catégories d'impact</t>
        </is>
      </c>
      <c r="E7" s="62" t="inlineStr">
        <is>
          <t>Gravité</t>
        </is>
      </c>
      <c r="F7" s="93" t="n"/>
      <c r="G7" s="93" t="n"/>
      <c r="H7" s="93" t="n"/>
    </row>
    <row r="8" ht="73.5" customHeight="1" s="56">
      <c r="A8" s="95" t="inlineStr">
        <is>
          <t>M1 - VM1.2 / VM1.3
Évaluation et résultats académiques</t>
        </is>
      </c>
      <c r="B8" s="64" t="inlineStr">
        <is>
          <t>ER03</t>
        </is>
      </c>
      <c r="C8" s="66" t="inlineStr">
        <is>
          <t>Altération frauduleuse des notes, moyennes ou diplômes</t>
        </is>
      </c>
      <c r="D8" s="66" t="inlineStr">
        <is>
          <t>• Impacts sur les missions et services de l'organisme
• Impacts sur l'image et la confiance
• Impacts juridiques (contestation des diplômes, contentieux étudiants)</t>
        </is>
      </c>
      <c r="E8" s="84" t="inlineStr">
        <is>
          <t>G3</t>
        </is>
      </c>
      <c r="F8" s="93" t="n"/>
      <c r="G8" s="93" t="n"/>
      <c r="H8" s="93" t="n"/>
    </row>
    <row r="9" ht="55.5" customHeight="1" s="56">
      <c r="A9" s="96" t="inlineStr">
        <is>
          <t>M1 - VM1.1 / VM1.4
Services pédagogiques numériques (plateforme et messagerie)</t>
        </is>
      </c>
      <c r="B9" s="97" t="inlineStr">
        <is>
          <t>ER04</t>
        </is>
      </c>
      <c r="C9" s="98" t="inlineStr">
        <is>
          <t>Interruption de l'accès aux services pédagogiques pendant plus de 24 h, notamment en période d'examens</t>
        </is>
      </c>
      <c r="D9" s="98" t="inlineStr">
        <is>
          <t>• Impacts sur les missions et services de l'organisme
• Impacts sur l'image et la confiance</t>
        </is>
      </c>
      <c r="E9" s="84" t="inlineStr">
        <is>
          <t>G3</t>
        </is>
      </c>
      <c r="F9" s="93" t="n"/>
      <c r="G9" s="93" t="n"/>
      <c r="H9" s="93" t="n"/>
    </row>
    <row r="10" ht="45" customHeight="1" s="56">
      <c r="A10" s="80" t="n"/>
      <c r="B10" s="97" t="inlineStr">
        <is>
          <t>ER08</t>
        </is>
      </c>
      <c r="C10" s="98" t="inlineStr">
        <is>
          <t>Détournement de la messagerie institutionnelle pour des campagnes externes malveillantes (phishing, spam)</t>
        </is>
      </c>
      <c r="D10" s="98" t="inlineStr">
        <is>
          <t>• Impacts sur l'image et la confiance</t>
        </is>
      </c>
      <c r="E10" s="87" t="inlineStr">
        <is>
          <t>G2</t>
        </is>
      </c>
      <c r="F10" s="93" t="n"/>
      <c r="G10" s="93" t="n"/>
      <c r="H10" s="93" t="n"/>
    </row>
    <row r="11" ht="73.5" customHeight="1" s="56">
      <c r="A11" s="95" t="inlineStr">
        <is>
          <t>M2 - VM2.2
Patrimoine scientifique</t>
        </is>
      </c>
      <c r="B11" s="64" t="inlineStr">
        <is>
          <t>ER02</t>
        </is>
      </c>
      <c r="C11" s="66" t="inlineStr">
        <is>
          <t>Fuite des données et résultats de recherche de l'établissement</t>
        </is>
      </c>
      <c r="D11" s="66" t="inlineStr">
        <is>
          <t>• Impacts sur le patrimoine intellectuel
• Impacts financiers (brevets compromis, contrats partenaires rompus)
• Impacts sur l'image et la confiance (partenaires académiques et industriels)</t>
        </is>
      </c>
      <c r="E11" s="84" t="inlineStr">
        <is>
          <t>G3</t>
        </is>
      </c>
      <c r="F11" s="93" t="n"/>
      <c r="G11" s="93" t="n"/>
      <c r="H11" s="93" t="n"/>
    </row>
    <row r="12" ht="73.5" customHeight="1" s="56">
      <c r="A12" s="80" t="n"/>
      <c r="B12" s="64" t="inlineStr">
        <is>
          <t>ER09</t>
        </is>
      </c>
      <c r="C12" s="66" t="inlineStr">
        <is>
          <t>Perte ou destruction définitive des données et résultats de recherche</t>
        </is>
      </c>
      <c r="D12" s="66" t="inlineStr">
        <is>
          <t>• Impacts sur les missions et services de l'organisme
• Impacts sur le patrimoine intellectuel
• Impacts financiers (engagements ANR / européens compromis)</t>
        </is>
      </c>
      <c r="E12" s="84" t="inlineStr">
        <is>
          <t>G3</t>
        </is>
      </c>
      <c r="F12" s="93" t="n"/>
      <c r="G12" s="93" t="n"/>
      <c r="H12" s="93" t="n"/>
    </row>
    <row r="13" ht="91.5" customHeight="1" s="56">
      <c r="A13" s="96" t="inlineStr">
        <is>
          <t>M3 - VM3.2
Données personnelles et contractuelles</t>
        </is>
      </c>
      <c r="B13" s="97" t="inlineStr">
        <is>
          <t>ER01</t>
        </is>
      </c>
      <c r="C13" s="98" t="inlineStr">
        <is>
          <t>Fuite massive des données personnelles des étudiants et personnels (identité, NIR, RIB, dossiers, notes)</t>
        </is>
      </c>
      <c r="D13" s="98" t="inlineStr">
        <is>
          <t>• Impacts sur les personnes (atteinte à la vie privée)
• Impacts juridiques (sanction RGPD / CNIL, notification 72 h)
• Impacts sur l'image et la confiance
• Impacts financiers (sanction administrative, indemnisations)</t>
        </is>
      </c>
      <c r="E13" s="81" t="inlineStr">
        <is>
          <t>G4</t>
        </is>
      </c>
      <c r="F13" s="93" t="n"/>
      <c r="G13" s="93" t="n"/>
      <c r="H13" s="93" t="n"/>
    </row>
    <row r="14" ht="91.5" customHeight="1" s="56">
      <c r="A14" s="95" t="inlineStr">
        <is>
          <t>M3 - VM3.1
Gestion des ressources humaines</t>
        </is>
      </c>
      <c r="B14" s="64" t="inlineStr">
        <is>
          <t>ER05</t>
        </is>
      </c>
      <c r="C14" s="66" t="inlineStr">
        <is>
          <t>Altération frauduleuse de la paie et des données de gestion RH</t>
        </is>
      </c>
      <c r="D14" s="66" t="inlineStr">
        <is>
          <t>• Impacts sur les missions et services de l'organisme
• Impacts financiers (paie détournée ou erronée)
• Impacts juridiques (contentieux RH)
• Impacts sur les personnes (retard ou perte de rémunération)</t>
        </is>
      </c>
      <c r="E14" s="84" t="inlineStr">
        <is>
          <t>G3</t>
        </is>
      </c>
      <c r="F14" s="93" t="n"/>
      <c r="G14" s="93" t="n"/>
      <c r="H14" s="93" t="n"/>
    </row>
    <row r="15" ht="91.5" customHeight="1" s="56">
      <c r="A15" s="96" t="inlineStr">
        <is>
          <t>Transverse
Valeurs métier de M1, M2 et M3</t>
        </is>
      </c>
      <c r="B15" s="97" t="inlineStr">
        <is>
          <t>ER06</t>
        </is>
      </c>
      <c r="C15" s="98" t="inlineStr">
        <is>
          <t>Interruption massive et simultanée de l'ensemble des services numériques de l'établissement</t>
        </is>
      </c>
      <c r="D15" s="98" t="inlineStr">
        <is>
          <t>• Impacts sur les missions et services de l'organisme
• Impacts financiers (coût de remédiation, perte d'exploitation)
• Impacts sur l'image et la confiance
• Impacts juridiques (selon les données affectées)</t>
        </is>
      </c>
      <c r="E15" s="81" t="inlineStr">
        <is>
          <t>G4</t>
        </is>
      </c>
      <c r="F15" s="93" t="n"/>
      <c r="G15" s="93" t="n"/>
      <c r="H15" s="93" t="n"/>
    </row>
    <row r="16" ht="55.5" customHeight="1" s="56">
      <c r="A16" s="80" t="n"/>
      <c r="B16" s="97" t="inlineStr">
        <is>
          <t>ER07</t>
        </is>
      </c>
      <c r="C16" s="98" t="inlineStr">
        <is>
          <t>Usurpation d'identité d'un personnel ou enseignant (événement pivot vers d'autres ER)</t>
        </is>
      </c>
      <c r="D16" s="98" t="inlineStr">
        <is>
          <t>• Impacts sur les missions et services de l'organisme
• Impacts sur l'image et la confiance</t>
        </is>
      </c>
      <c r="E16" s="84" t="inlineStr">
        <is>
          <t>G3</t>
        </is>
      </c>
      <c r="F16" s="93" t="n"/>
      <c r="G16" s="93" t="n"/>
      <c r="H16" s="93" t="n"/>
    </row>
    <row r="18" ht="37.5" customHeight="1" s="56">
      <c r="A18" s="60" t="inlineStr">
        <is>
          <t>Note : la gravité de ER04 est calibrée à G3 hors période d'examens et G4 pendant une session d'examens (basculement d'axe « Missions / activité » par franchissement du seuil G4 « arrêt d'un service vital »).</t>
        </is>
      </c>
      <c r="B18" s="61" t="n"/>
      <c r="C18" s="61" t="n"/>
      <c r="D18" s="61" t="n"/>
      <c r="E18" s="61" t="n"/>
    </row>
  </sheetData>
  <mergeCells count="7">
    <mergeCell ref="A4:E4"/>
    <mergeCell ref="A9:A10"/>
    <mergeCell ref="A15:A16"/>
    <mergeCell ref="A1:E2"/>
    <mergeCell ref="A6:E6"/>
    <mergeCell ref="A18:E18"/>
    <mergeCell ref="A11:A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34"/>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5" min="1" max="2"/>
    <col width="24" customWidth="1" style="55" min="3" max="3"/>
    <col width="22" customWidth="1" style="55" min="4" max="5"/>
  </cols>
  <sheetData>
    <row r="1" ht="25.5" customHeight="1" s="56">
      <c r="A1" s="57" t="inlineStr">
        <is>
          <t>A2.0 - Échelle de pertinence des couples SR/OV</t>
        </is>
      </c>
    </row>
    <row r="2" ht="25.5" customHeight="1" s="56"/>
    <row r="4" ht="84" customHeight="1" s="56">
      <c r="A4" s="60" t="inlineStr">
        <is>
          <t>Matrice de référence issue de la slide 31 du cours, permettant de déduire la pertinence d'un couple Source de risque / Objectif visé à partir de deux paramètres : la motivation de la source à atteindre son objectif et les ressources dont elle dispose. La pertinence prend l'une des quatre valeurs Peu pertinent / Moyennement pertinent / Plutôt pertinent / Très pertinent. Cette matrice est utilisée par formule dans la feuille A2.2 Couples SR/OV pour garantir la cohérence des évaluations.</t>
        </is>
      </c>
      <c r="B4" s="61" t="n"/>
      <c r="C4" s="61" t="n"/>
      <c r="D4" s="61" t="n"/>
      <c r="E4" s="61" t="n"/>
    </row>
    <row r="6" ht="21.75" customHeight="1" s="56">
      <c r="A6" s="94" t="inlineStr">
        <is>
          <t>Matrice Motivation × Ressources → Pertinence</t>
        </is>
      </c>
    </row>
    <row r="8" ht="27.75" customHeight="1" s="56">
      <c r="B8" s="99" t="inlineStr">
        <is>
          <t>RESSOURCES (ressources financières, compétences cyber, outillage, temps)</t>
        </is>
      </c>
      <c r="C8" s="61" t="n"/>
      <c r="D8" s="61" t="n"/>
      <c r="E8" s="61" t="n"/>
    </row>
    <row r="9" ht="36" customHeight="1" s="56">
      <c r="A9" s="100" t="inlineStr">
        <is>
          <t>MOTIVATION</t>
        </is>
      </c>
      <c r="B9" s="75" t="inlineStr">
        <is>
          <t>Ressources limitées</t>
        </is>
      </c>
      <c r="C9" s="75" t="inlineStr">
        <is>
          <t>Ressources significatives</t>
        </is>
      </c>
      <c r="D9" s="75" t="inlineStr">
        <is>
          <t>Ressources importantes</t>
        </is>
      </c>
      <c r="E9" s="75" t="inlineStr">
        <is>
          <t>Ressources illimitées</t>
        </is>
      </c>
    </row>
    <row r="10" ht="36" customHeight="1" s="56">
      <c r="A10" s="75" t="inlineStr">
        <is>
          <t>Fortement motivé</t>
        </is>
      </c>
      <c r="B10" s="87" t="inlineStr">
        <is>
          <t>Moyennement pertinent</t>
        </is>
      </c>
      <c r="C10" s="84" t="inlineStr">
        <is>
          <t>Plutôt pertinent</t>
        </is>
      </c>
      <c r="D10" s="81" t="inlineStr">
        <is>
          <t>Très pertinent</t>
        </is>
      </c>
      <c r="E10" s="81" t="inlineStr">
        <is>
          <t>Très pertinent</t>
        </is>
      </c>
    </row>
    <row r="11" ht="36" customHeight="1" s="56">
      <c r="A11" s="75" t="inlineStr">
        <is>
          <t>Assez motivé</t>
        </is>
      </c>
      <c r="B11" s="87" t="inlineStr">
        <is>
          <t>Moyennement pertinent</t>
        </is>
      </c>
      <c r="C11" s="84" t="inlineStr">
        <is>
          <t>Plutôt pertinent</t>
        </is>
      </c>
      <c r="D11" s="84" t="inlineStr">
        <is>
          <t>Plutôt pertinent</t>
        </is>
      </c>
      <c r="E11" s="81" t="inlineStr">
        <is>
          <t>Très pertinent</t>
        </is>
      </c>
    </row>
    <row r="12" ht="36" customHeight="1" s="56">
      <c r="A12" s="75" t="inlineStr">
        <is>
          <t>Peu motivé</t>
        </is>
      </c>
      <c r="B12" s="90" t="inlineStr">
        <is>
          <t>Peu pertinent</t>
        </is>
      </c>
      <c r="C12" s="87" t="inlineStr">
        <is>
          <t>Moyennement pertinent</t>
        </is>
      </c>
      <c r="D12" s="84" t="inlineStr">
        <is>
          <t>Plutôt pertinent</t>
        </is>
      </c>
      <c r="E12" s="84" t="inlineStr">
        <is>
          <t>Plutôt pertinent</t>
        </is>
      </c>
    </row>
    <row r="13" ht="36" customHeight="1" s="56">
      <c r="A13" s="75" t="inlineStr">
        <is>
          <t>Très peu motivé</t>
        </is>
      </c>
      <c r="B13" s="90" t="inlineStr">
        <is>
          <t>Peu pertinent</t>
        </is>
      </c>
      <c r="C13" s="90" t="inlineStr">
        <is>
          <t>Peu pertinent</t>
        </is>
      </c>
      <c r="D13" s="87" t="inlineStr">
        <is>
          <t>Moyennement pertinent</t>
        </is>
      </c>
      <c r="E13" s="87" t="inlineStr">
        <is>
          <t>Moyennement pertinent</t>
        </is>
      </c>
    </row>
    <row r="15" ht="21.75" customHeight="1" s="56">
      <c r="A15" s="94" t="inlineStr">
        <is>
          <t>Définition des niveaux de motivation</t>
        </is>
      </c>
    </row>
    <row r="16" ht="25.5" customHeight="1" s="56">
      <c r="A16" s="62" t="inlineStr">
        <is>
          <t>Niveau</t>
        </is>
      </c>
      <c r="B16" s="62" t="inlineStr">
        <is>
          <t>Définition</t>
        </is>
      </c>
      <c r="C16" s="61" t="n"/>
      <c r="D16" s="61" t="n"/>
      <c r="E16" s="101" t="n"/>
    </row>
    <row r="17" ht="42" customHeight="1" s="56">
      <c r="A17" s="64" t="inlineStr">
        <is>
          <t>Fortement motivé</t>
        </is>
      </c>
      <c r="B17" s="102" t="inlineStr">
        <is>
          <t>Enjeu personnel direct, gain financier élevé, idéologie forte, intérêt stratégique majeur. La source poursuivra son objectif coûte que coûte.</t>
        </is>
      </c>
      <c r="C17" s="61" t="n"/>
      <c r="D17" s="61" t="n"/>
      <c r="E17" s="61" t="n"/>
    </row>
    <row r="18" ht="42" customHeight="1" s="56">
      <c r="A18" s="64" t="inlineStr">
        <is>
          <t>Assez motivé</t>
        </is>
      </c>
      <c r="B18" s="103" t="inlineStr">
        <is>
          <t>Enjeu réel mais non vital. La source poursuivra son objectif si l'opportunité s'offre, mais pas à tout prix.</t>
        </is>
      </c>
      <c r="C18" s="61" t="n"/>
      <c r="D18" s="61" t="n"/>
      <c r="E18" s="61" t="n"/>
    </row>
    <row r="19" ht="42" customHeight="1" s="56">
      <c r="A19" s="64" t="inlineStr">
        <is>
          <t>Peu motivé</t>
        </is>
      </c>
      <c r="B19" s="102" t="inlineStr">
        <is>
          <t>Intérêt opportuniste, défi ponctuel, curiosité. La source attaque si l'attaque est facile, sinon abandonne.</t>
        </is>
      </c>
      <c r="C19" s="61" t="n"/>
      <c r="D19" s="61" t="n"/>
      <c r="E19" s="61" t="n"/>
    </row>
    <row r="20" ht="42" customHeight="1" s="56">
      <c r="A20" s="64" t="inlineStr">
        <is>
          <t>Très peu motivé</t>
        </is>
      </c>
      <c r="B20" s="103" t="inlineStr">
        <is>
          <t>Pas d'intérêt direct envers l'objet d'étude. L'organisation pourrait être affectée comme dommage collatéral d'une attaque non ciblée.</t>
        </is>
      </c>
      <c r="C20" s="61" t="n"/>
      <c r="D20" s="61" t="n"/>
      <c r="E20" s="61" t="n"/>
    </row>
    <row r="22" ht="21.75" customHeight="1" s="56">
      <c r="A22" s="94" t="inlineStr">
        <is>
          <t>Définition des niveaux de ressources</t>
        </is>
      </c>
    </row>
    <row r="23" ht="25.5" customHeight="1" s="56">
      <c r="A23" s="62" t="inlineStr">
        <is>
          <t>Niveau</t>
        </is>
      </c>
      <c r="B23" s="62" t="inlineStr">
        <is>
          <t>Définition</t>
        </is>
      </c>
      <c r="C23" s="61" t="n"/>
      <c r="D23" s="61" t="n"/>
      <c r="E23" s="101" t="n"/>
    </row>
    <row r="24" ht="48" customHeight="1" s="56">
      <c r="A24" s="64" t="inlineStr">
        <is>
          <t>Ressources limitées</t>
        </is>
      </c>
      <c r="B24" s="102" t="inlineStr">
        <is>
          <t>Outillage standard (Kali, scripts publics), compétences faibles à moyennes, temps disponible limité, pas de ressources financières dédiées à l'attaque.</t>
        </is>
      </c>
      <c r="C24" s="61" t="n"/>
      <c r="D24" s="61" t="n"/>
      <c r="E24" s="61" t="n"/>
    </row>
    <row r="25" ht="48" customHeight="1" s="56">
      <c r="A25" s="64" t="inlineStr">
        <is>
          <t>Ressources significatives</t>
        </is>
      </c>
      <c r="B25" s="103" t="inlineStr">
        <is>
          <t>Outillage avancé, compétences intermédiaires à fortes, temps disponible important. Profil typique : groupe organisé sans soutien étatique, insider qualifié, hacktiviste structuré.</t>
        </is>
      </c>
      <c r="C25" s="61" t="n"/>
      <c r="D25" s="61" t="n"/>
      <c r="E25" s="61" t="n"/>
    </row>
    <row r="26" ht="48" customHeight="1" s="56">
      <c r="A26" s="64" t="inlineStr">
        <is>
          <t>Ressources importantes</t>
        </is>
      </c>
      <c r="B26" s="102" t="inlineStr">
        <is>
          <t>Infrastructure d'attaque dédiée (C2, kits sur-mesure), compétences fortes, ressources financières conséquentes. Profil typique : groupe cybercriminel organisé (RaaS).</t>
        </is>
      </c>
      <c r="C26" s="61" t="n"/>
      <c r="D26" s="61" t="n"/>
      <c r="E26" s="61" t="n"/>
    </row>
    <row r="27" ht="48" customHeight="1" s="56">
      <c r="A27" s="64" t="inlineStr">
        <is>
          <t>Ressources illimitées</t>
        </is>
      </c>
      <c r="B27" s="103" t="inlineStr">
        <is>
          <t>Capacités étatiques type APT : 0-days, ressources humaines et financières quasi sans limite, opérations longue durée, supply-chain attacks possibles.</t>
        </is>
      </c>
      <c r="C27" s="61" t="n"/>
      <c r="D27" s="61" t="n"/>
      <c r="E27" s="61" t="n"/>
    </row>
    <row r="29" ht="21.75" customHeight="1" s="56">
      <c r="A29" s="94" t="inlineStr">
        <is>
          <t>Définition des niveaux de pertinence et décision associée</t>
        </is>
      </c>
    </row>
    <row r="30" ht="25.5" customHeight="1" s="56">
      <c r="A30" s="62" t="inlineStr">
        <is>
          <t>Pertinence</t>
        </is>
      </c>
      <c r="B30" s="62" t="inlineStr">
        <is>
          <t>Signification</t>
        </is>
      </c>
      <c r="C30" s="101" t="n"/>
      <c r="D30" s="62" t="inlineStr">
        <is>
          <t>Décision suggérée</t>
        </is>
      </c>
      <c r="E30" s="101" t="n"/>
    </row>
    <row r="31" ht="37.5" customHeight="1" s="56">
      <c r="A31" s="90" t="inlineStr">
        <is>
          <t>Peu pertinent</t>
        </is>
      </c>
      <c r="B31" s="102" t="inlineStr">
        <is>
          <t>Couple théoriquement possible mais peu susceptible de se concrétiser : motivation faible et/ou ressources insuffisantes.</t>
        </is>
      </c>
      <c r="C31" s="61" t="n"/>
      <c r="D31" s="104" t="inlineStr">
        <is>
          <t>Écarté</t>
        </is>
      </c>
      <c r="E31" s="61" t="n"/>
    </row>
    <row r="32" ht="37.5" customHeight="1" s="56">
      <c r="A32" s="87" t="inlineStr">
        <is>
          <t>Moyennement pertinent</t>
        </is>
      </c>
      <c r="B32" s="102" t="inlineStr">
        <is>
          <t>Couple plausible mais non prioritaire. Mérite d'être surveillé pour détecter une évolution.</t>
        </is>
      </c>
      <c r="C32" s="61" t="n"/>
      <c r="D32" s="104" t="inlineStr">
        <is>
          <t>Surveillance</t>
        </is>
      </c>
      <c r="E32" s="61" t="n"/>
    </row>
    <row r="33" ht="37.5" customHeight="1" s="56">
      <c r="A33" s="84" t="inlineStr">
        <is>
          <t>Plutôt pertinent</t>
        </is>
      </c>
      <c r="B33" s="102" t="inlineStr">
        <is>
          <t>Couple probable à intégrer dans l'analyse des scénarios stratégiques (atelier 3).</t>
        </is>
      </c>
      <c r="C33" s="61" t="n"/>
      <c r="D33" s="104" t="inlineStr">
        <is>
          <t>Retenu</t>
        </is>
      </c>
      <c r="E33" s="61" t="n"/>
    </row>
    <row r="34" ht="37.5" customHeight="1" s="56">
      <c r="A34" s="81" t="inlineStr">
        <is>
          <t>Très pertinent</t>
        </is>
      </c>
      <c r="B34" s="102" t="inlineStr">
        <is>
          <t>Couple hautement probable à intégrer prioritairement dans les scénarios stratégiques.</t>
        </is>
      </c>
      <c r="C34" s="61" t="n"/>
      <c r="D34" s="104" t="inlineStr">
        <is>
          <t>Retenu</t>
        </is>
      </c>
      <c r="E34" s="61" t="n"/>
    </row>
  </sheetData>
  <mergeCells count="27">
    <mergeCell ref="A15:E15"/>
    <mergeCell ref="D34:E34"/>
    <mergeCell ref="B24:E24"/>
    <mergeCell ref="B31:C31"/>
    <mergeCell ref="B20:E20"/>
    <mergeCell ref="D31:E31"/>
    <mergeCell ref="A6:E6"/>
    <mergeCell ref="B26:E26"/>
    <mergeCell ref="B16:E16"/>
    <mergeCell ref="B25:E25"/>
    <mergeCell ref="D32:E32"/>
    <mergeCell ref="B18:E18"/>
    <mergeCell ref="B27:E27"/>
    <mergeCell ref="B34:C34"/>
    <mergeCell ref="A1:E2"/>
    <mergeCell ref="A22:E22"/>
    <mergeCell ref="B17:E17"/>
    <mergeCell ref="B23:E23"/>
    <mergeCell ref="A4:E4"/>
    <mergeCell ref="B8:E8"/>
    <mergeCell ref="A29:E29"/>
    <mergeCell ref="B30:C30"/>
    <mergeCell ref="D30:E30"/>
    <mergeCell ref="B33:C33"/>
    <mergeCell ref="D33:E33"/>
    <mergeCell ref="B32:C32"/>
    <mergeCell ref="B19:E1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E12"/>
  <sheetViews>
    <sheetView showFormulas="0" showGridLines="0" showRowColHeaders="1" showZeros="1" rightToLeft="0" tabSelected="0"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5" min="1" max="1"/>
    <col width="32" customWidth="1" style="55" min="2" max="2"/>
    <col width="14" customWidth="1" style="55" min="3" max="3"/>
    <col width="60" customWidth="1" style="55" min="4" max="4"/>
    <col width="22" customWidth="1" style="55" min="5" max="5"/>
  </cols>
  <sheetData>
    <row r="1" ht="25.5" customHeight="1" s="56">
      <c r="A1" s="57" t="inlineStr">
        <is>
          <t>A2.1 - Sources de risque</t>
        </is>
      </c>
    </row>
    <row r="2" ht="25.5" customHeight="1" s="56"/>
    <row r="4" ht="90" customHeight="1" s="56">
      <c r="A4" s="60" t="inlineStr">
        <is>
          <t>Liste des sources de risque (SR) candidates identifiées au regard du contexte d'UniCampus+. Chaque source est caractérisée par son profil (interne / externe), sa description sociologique et ses capacités typiques en termes de motivation et de ressources. Les couples SR/OV concrets sont construits en A2.2 à partir de cette typologie. Les erreurs humaines et négligences non malveillantes ne sont pas traitées comme sources de risque ici (cf. doctrine EBIOS RM) — elles seront prises en compte au titre des vulnérabilités à l'atelier 4.</t>
        </is>
      </c>
      <c r="B4" s="61" t="n"/>
      <c r="C4" s="61" t="n"/>
      <c r="D4" s="61" t="n"/>
      <c r="E4" s="61" t="n"/>
    </row>
    <row r="6" ht="21.75" customHeight="1" s="56">
      <c r="A6" s="94" t="inlineStr">
        <is>
          <t>Typologie des sources de risque retenues pour UniCampus+</t>
        </is>
      </c>
    </row>
    <row r="7" ht="31.5" customHeight="1" s="56">
      <c r="A7" s="62" t="inlineStr">
        <is>
          <t>Code SR</t>
        </is>
      </c>
      <c r="B7" s="62" t="inlineStr">
        <is>
          <t>Libellé</t>
        </is>
      </c>
      <c r="C7" s="62" t="inlineStr">
        <is>
          <t>Profil</t>
        </is>
      </c>
      <c r="D7" s="62" t="inlineStr">
        <is>
          <t>Description et profil sociologique</t>
        </is>
      </c>
      <c r="E7" s="62" t="inlineStr">
        <is>
          <t>Capacités typiques</t>
        </is>
      </c>
    </row>
    <row r="8" ht="99.75" customHeight="1" s="56">
      <c r="A8" s="64" t="inlineStr">
        <is>
          <t>SR-A</t>
        </is>
      </c>
      <c r="B8" s="105" t="inlineStr">
        <is>
          <t>Étudiant malveillant</t>
        </is>
      </c>
      <c r="C8" s="71" t="inlineStr">
        <is>
          <t>Interne</t>
        </is>
      </c>
      <c r="D8" s="66" t="inlineStr">
        <is>
          <t>Étudiant inscrit à UniCampus+. Profil hétérogène sur 12 000 individus : une fraction non négligeable dispose de compétences cyber réelles (Master Info, double cursus, autoformation). Bénéficie d'un accès physique au campus et au WiFi étudiants. Motivation typiquement personnelle (notes, examens) ou de défi.</t>
        </is>
      </c>
      <c r="E8" s="66" t="inlineStr">
        <is>
          <t>Motivation variable selon l'OV ; ressources globalement significatives (compétences disponibles, temps illimité, accès interne).</t>
        </is>
      </c>
    </row>
    <row r="9" ht="99.75" customHeight="1" s="56">
      <c r="A9" s="68" t="inlineStr">
        <is>
          <t>SR-B</t>
        </is>
      </c>
      <c r="B9" s="106" t="inlineStr">
        <is>
          <t>Cybercriminel organisé</t>
        </is>
      </c>
      <c r="C9" s="72" t="inlineStr">
        <is>
          <t>Externe</t>
        </is>
      </c>
      <c r="D9" s="69" t="inlineStr">
        <is>
          <t>Groupe cybercriminel à objectif financier (ransomware-as-a-service, revente de données). Cible opportuniste : UniCampus+ représente une cible attractive (budget public, données nombreuses, sécurité historiquement faible dans l'ESR français).</t>
        </is>
      </c>
      <c r="E9" s="69" t="inlineStr">
        <is>
          <t>Motivation forte (gain financier) ; ressources importantes (kits ransomware matures, infrastructure C2).</t>
        </is>
      </c>
    </row>
    <row r="10" ht="99.75" customHeight="1" s="56">
      <c r="A10" s="64" t="inlineStr">
        <is>
          <t>SR-C</t>
        </is>
      </c>
      <c r="B10" s="105" t="inlineStr">
        <is>
          <t>Acteur étatique / concurrent (APT)</t>
        </is>
      </c>
      <c r="C10" s="71" t="inlineStr">
        <is>
          <t>Externe</t>
        </is>
      </c>
      <c r="D10" s="66" t="inlineStr">
        <is>
          <t>Service de renseignement étranger ou concurrent industriel ciblant le patrimoine scientifique d'UniCampus+. Pertinence dépendant du caractère stratégique des recherches conduites (dual-use, IA, biotech, cryptographie…).</t>
        </is>
      </c>
      <c r="E10" s="66" t="inlineStr">
        <is>
          <t>Motivation modérée à forte selon les domaines de recherche ; ressources illimitées (APT, supply-chain, 0-days).</t>
        </is>
      </c>
    </row>
    <row r="11" ht="99.75" customHeight="1" s="56">
      <c r="A11" s="68" t="inlineStr">
        <is>
          <t>SR-D</t>
        </is>
      </c>
      <c r="B11" s="106" t="inlineStr">
        <is>
          <t>Hacktiviste</t>
        </is>
      </c>
      <c r="C11" s="72" t="inlineStr">
        <is>
          <t>Externe</t>
        </is>
      </c>
      <c r="D11" s="69" t="inlineStr">
        <is>
          <t>Individu ou collectif motivé par une cause idéologique (transparence, justice sociale, animaux de laboratoire, partenariats industriels controversés). Capable d'attaques médiatisées (défacement, fuites volontaires).</t>
        </is>
      </c>
      <c r="E11" s="69" t="inlineStr">
        <is>
          <t>Motivation variable selon les causes pertinentes vis-à-vis d'UniCampus+ ; ressources significatives (compétences réelles, outillage public et privé).</t>
        </is>
      </c>
    </row>
    <row r="12" ht="99.75" customHeight="1" s="56">
      <c r="A12" s="64" t="inlineStr">
        <is>
          <t>SR-E</t>
        </is>
      </c>
      <c r="B12" s="105" t="inlineStr">
        <is>
          <t>Personnel mécontent ou ex-personnel</t>
        </is>
      </c>
      <c r="C12" s="71" t="inlineStr">
        <is>
          <t>Interne ou ex-interne</t>
        </is>
      </c>
      <c r="D12" s="66" t="inlineStr">
        <is>
          <t>Membre ou ancien membre du personnel administratif, enseignant ou DSI, agissant par vengeance, fraude personnelle ou en réaction à un licenciement, une sanction ou un conflit. Bénéficie d'un accès légitime ou résiduel (compte non révoqué) et d'une connaissance fine du SI.</t>
        </is>
      </c>
      <c r="E12" s="66" t="inlineStr">
        <is>
          <t>Motivation modérée à forte selon le contexte (fraude RH, vengeance) ; ressources significatives (accès interne, connaissance du SI).</t>
        </is>
      </c>
    </row>
  </sheetData>
  <mergeCells count="3">
    <mergeCell ref="A6:E6"/>
    <mergeCell ref="A4:E4"/>
    <mergeCell ref="A1:E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H16"/>
  <sheetViews>
    <sheetView showFormulas="0" showGridLines="0" showRowColHeaders="1" showZeros="1" rightToLeft="0" tabSelected="0"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55" min="1" max="1"/>
    <col width="28" customWidth="1" style="55" min="2" max="2"/>
    <col width="38" customWidth="1" style="55" min="3" max="3"/>
    <col width="20" customWidth="1" style="55" min="4" max="4"/>
    <col width="24" customWidth="1" style="55" min="5" max="6"/>
    <col width="16" customWidth="1" style="55" min="7" max="8"/>
  </cols>
  <sheetData>
    <row r="1" ht="25.5" customHeight="1" s="56">
      <c r="A1" s="57" t="inlineStr">
        <is>
          <t>A2.2 - Couples Source de risque / Objectif visé</t>
        </is>
      </c>
    </row>
    <row r="2" ht="25.5" customHeight="1" s="56"/>
    <row r="4" ht="90" customHeight="1" s="56">
      <c r="A4" s="60" t="inlineStr">
        <is>
          <t>Tableau des couples SR/OV évalués pour UniCampus+. Pour chaque couple, la pertinence est calculée par formule INDEX/MATCH depuis la matrice définie en A2.0 — pour modifier l'évaluation, changer Motivation et/ou Ressources via les listes déroulantes et la pertinence se met à jour automatiquement. La décision (Retenu / Surveillance / Écarté) suit en principe la pertinence (Plutôt et Très pertinent → Retenu ; Moyennement → Surveillance ; Peu → Écarté) mais peut être ajustée à dire d'expert. La colonne ER ciblé(s) fait le lien avec A1.4 et prépare A2.3.</t>
        </is>
      </c>
      <c r="B4" s="61" t="n"/>
      <c r="C4" s="61" t="n"/>
      <c r="D4" s="61" t="n"/>
      <c r="E4" s="61" t="n"/>
      <c r="F4" s="61" t="n"/>
      <c r="G4" s="61" t="n"/>
      <c r="H4" s="61" t="n"/>
    </row>
    <row r="6" ht="21.75" customHeight="1" s="56">
      <c r="A6" s="94" t="inlineStr">
        <is>
          <t>Liste des couples SR/OV évalués</t>
        </is>
      </c>
    </row>
    <row r="7" ht="36" customHeight="1" s="56">
      <c r="A7" s="62" t="inlineStr">
        <is>
          <t>Code couple</t>
        </is>
      </c>
      <c r="B7" s="62" t="inlineStr">
        <is>
          <t>Source de risque</t>
        </is>
      </c>
      <c r="C7" s="62" t="inlineStr">
        <is>
          <t>Objectif visé</t>
        </is>
      </c>
      <c r="D7" s="62" t="inlineStr">
        <is>
          <t>Motivation</t>
        </is>
      </c>
      <c r="E7" s="62" t="inlineStr">
        <is>
          <t>Ressources</t>
        </is>
      </c>
      <c r="F7" s="62" t="inlineStr">
        <is>
          <t>Pertinence (calculée)</t>
        </is>
      </c>
      <c r="G7" s="62" t="inlineStr">
        <is>
          <t>Décision</t>
        </is>
      </c>
      <c r="H7" s="62" t="inlineStr">
        <is>
          <t>ER ciblé(s)</t>
        </is>
      </c>
    </row>
    <row r="8" ht="55.5" customHeight="1" s="56">
      <c r="A8" s="64" t="inlineStr">
        <is>
          <t>C01</t>
        </is>
      </c>
      <c r="B8" s="66" t="inlineStr">
        <is>
          <t>SR-A Étudiant malveillant</t>
        </is>
      </c>
      <c r="C8" s="66" t="inlineStr">
        <is>
          <t>Compromettre les résultats académiques (modifier notes, voler sujets d'examen)</t>
        </is>
      </c>
      <c r="D8" s="71" t="inlineStr">
        <is>
          <t>Fortement motivé</t>
        </is>
      </c>
      <c r="E8" s="71" t="inlineStr">
        <is>
          <t>Ressources significatives</t>
        </is>
      </c>
      <c r="F8" s="64">
        <f>IFERROR(INDEX('A2.0 Échelle de pertinence'!$B$10:$E$13,MATCH(D8,'A2.0 Échelle de pertinence'!$A$10:$A$13,0),MATCH(E8,'A2.0 Échelle de pertinence'!$B$9:$E$9,0)),"")</f>
        <v/>
      </c>
      <c r="G8" s="64" t="inlineStr">
        <is>
          <t>Retenu</t>
        </is>
      </c>
      <c r="H8" s="64" t="inlineStr">
        <is>
          <t>ER03</t>
        </is>
      </c>
    </row>
    <row r="9" ht="55.5" customHeight="1" s="56">
      <c r="A9" s="68" t="inlineStr">
        <is>
          <t>C02</t>
        </is>
      </c>
      <c r="B9" s="69" t="inlineStr">
        <is>
          <t>SR-A Étudiant malveillant</t>
        </is>
      </c>
      <c r="C9" s="69" t="inlineStr">
        <is>
          <t>Sabotage opportuniste (défi, curiosité, perturbation d'une session d'examens)</t>
        </is>
      </c>
      <c r="D9" s="72" t="inlineStr">
        <is>
          <t>Peu motivé</t>
        </is>
      </c>
      <c r="E9" s="72" t="inlineStr">
        <is>
          <t>Ressources significatives</t>
        </is>
      </c>
      <c r="F9" s="64">
        <f>IFERROR(INDEX('A2.0 Échelle de pertinence'!$B$10:$E$13,MATCH(D9,'A2.0 Échelle de pertinence'!$A$10:$A$13,0),MATCH(E9,'A2.0 Échelle de pertinence'!$B$9:$E$9,0)),"")</f>
        <v/>
      </c>
      <c r="G9" s="68" t="inlineStr">
        <is>
          <t>Surveillance</t>
        </is>
      </c>
      <c r="H9" s="68" t="inlineStr">
        <is>
          <t>ER04, ER08</t>
        </is>
      </c>
    </row>
    <row r="10" ht="55.5" customHeight="1" s="56">
      <c r="A10" s="64" t="inlineStr">
        <is>
          <t>C03</t>
        </is>
      </c>
      <c r="B10" s="66" t="inlineStr">
        <is>
          <t>SR-B Cybercriminel organisé</t>
        </is>
      </c>
      <c r="C10" s="66" t="inlineStr">
        <is>
          <t>Extorquer une rançon par chiffrement de l'infrastructure</t>
        </is>
      </c>
      <c r="D10" s="71" t="inlineStr">
        <is>
          <t>Fortement motivé</t>
        </is>
      </c>
      <c r="E10" s="71" t="inlineStr">
        <is>
          <t>Ressources importantes</t>
        </is>
      </c>
      <c r="F10" s="64">
        <f>IFERROR(INDEX('A2.0 Échelle de pertinence'!$B$10:$E$13,MATCH(D10,'A2.0 Échelle de pertinence'!$A$10:$A$13,0),MATCH(E10,'A2.0 Échelle de pertinence'!$B$9:$E$9,0)),"")</f>
        <v/>
      </c>
      <c r="G10" s="64" t="inlineStr">
        <is>
          <t>Retenu</t>
        </is>
      </c>
      <c r="H10" s="64" t="inlineStr">
        <is>
          <t>ER06, ER04</t>
        </is>
      </c>
    </row>
    <row r="11" ht="55.5" customHeight="1" s="56">
      <c r="A11" s="68" t="inlineStr">
        <is>
          <t>C04</t>
        </is>
      </c>
      <c r="B11" s="69" t="inlineStr">
        <is>
          <t>SR-B Cybercriminel organisé</t>
        </is>
      </c>
      <c r="C11" s="69" t="inlineStr">
        <is>
          <t>Revendre les données personnelles des étudiants et personnels sur le marché noir</t>
        </is>
      </c>
      <c r="D11" s="72" t="inlineStr">
        <is>
          <t>Assez motivé</t>
        </is>
      </c>
      <c r="E11" s="72" t="inlineStr">
        <is>
          <t>Ressources importantes</t>
        </is>
      </c>
      <c r="F11" s="64">
        <f>IFERROR(INDEX('A2.0 Échelle de pertinence'!$B$10:$E$13,MATCH(D11,'A2.0 Échelle de pertinence'!$A$10:$A$13,0),MATCH(E11,'A2.0 Échelle de pertinence'!$B$9:$E$9,0)),"")</f>
        <v/>
      </c>
      <c r="G11" s="68" t="inlineStr">
        <is>
          <t>Retenu</t>
        </is>
      </c>
      <c r="H11" s="68" t="inlineStr">
        <is>
          <t>ER01</t>
        </is>
      </c>
    </row>
    <row r="12" ht="55.5" customHeight="1" s="56">
      <c r="A12" s="64" t="inlineStr">
        <is>
          <t>C05</t>
        </is>
      </c>
      <c r="B12" s="66" t="inlineStr">
        <is>
          <t>SR-C Acteur étatique / concurrent</t>
        </is>
      </c>
      <c r="C12" s="66" t="inlineStr">
        <is>
          <t>Exfiltrer le patrimoine scientifique stratégique des laboratoires</t>
        </is>
      </c>
      <c r="D12" s="71" t="inlineStr">
        <is>
          <t>Assez motivé</t>
        </is>
      </c>
      <c r="E12" s="71" t="inlineStr">
        <is>
          <t>Ressources illimitées</t>
        </is>
      </c>
      <c r="F12" s="64">
        <f>IFERROR(INDEX('A2.0 Échelle de pertinence'!$B$10:$E$13,MATCH(D12,'A2.0 Échelle de pertinence'!$A$10:$A$13,0),MATCH(E12,'A2.0 Échelle de pertinence'!$B$9:$E$9,0)),"")</f>
        <v/>
      </c>
      <c r="G12" s="64" t="inlineStr">
        <is>
          <t>Retenu</t>
        </is>
      </c>
      <c r="H12" s="64" t="inlineStr">
        <is>
          <t>ER02</t>
        </is>
      </c>
    </row>
    <row r="13" ht="55.5" customHeight="1" s="56">
      <c r="A13" s="68" t="inlineStr">
        <is>
          <t>C06</t>
        </is>
      </c>
      <c r="B13" s="69" t="inlineStr">
        <is>
          <t>SR-D Hacktiviste</t>
        </is>
      </c>
      <c r="C13" s="69" t="inlineStr">
        <is>
          <t>Publier des données personnelles pour discréditer l'institution</t>
        </is>
      </c>
      <c r="D13" s="72" t="inlineStr">
        <is>
          <t>Peu motivé</t>
        </is>
      </c>
      <c r="E13" s="72" t="inlineStr">
        <is>
          <t>Ressources significatives</t>
        </is>
      </c>
      <c r="F13" s="64">
        <f>IFERROR(INDEX('A2.0 Échelle de pertinence'!$B$10:$E$13,MATCH(D13,'A2.0 Échelle de pertinence'!$A$10:$A$13,0),MATCH(E13,'A2.0 Échelle de pertinence'!$B$9:$E$9,0)),"")</f>
        <v/>
      </c>
      <c r="G13" s="68" t="inlineStr">
        <is>
          <t>Surveillance</t>
        </is>
      </c>
      <c r="H13" s="68" t="inlineStr">
        <is>
          <t>ER01</t>
        </is>
      </c>
    </row>
    <row r="14" ht="55.5" customHeight="1" s="56">
      <c r="A14" s="64" t="inlineStr">
        <is>
          <t>C07</t>
        </is>
      </c>
      <c r="B14" s="66" t="inlineStr">
        <is>
          <t>SR-D Hacktiviste</t>
        </is>
      </c>
      <c r="C14" s="66" t="inlineStr">
        <is>
          <t>Défacer la plateforme Moodle ou saboter l'image institutionnelle</t>
        </is>
      </c>
      <c r="D14" s="71" t="inlineStr">
        <is>
          <t>Peu motivé</t>
        </is>
      </c>
      <c r="E14" s="71" t="inlineStr">
        <is>
          <t>Ressources significatives</t>
        </is>
      </c>
      <c r="F14" s="64">
        <f>IFERROR(INDEX('A2.0 Échelle de pertinence'!$B$10:$E$13,MATCH(D14,'A2.0 Échelle de pertinence'!$A$10:$A$13,0),MATCH(E14,'A2.0 Échelle de pertinence'!$B$9:$E$9,0)),"")</f>
        <v/>
      </c>
      <c r="G14" s="64" t="inlineStr">
        <is>
          <t>Surveillance</t>
        </is>
      </c>
      <c r="H14" s="64" t="inlineStr">
        <is>
          <t>ER04, ER08</t>
        </is>
      </c>
    </row>
    <row r="15" ht="55.5" customHeight="1" s="56">
      <c r="A15" s="68" t="inlineStr">
        <is>
          <t>C08</t>
        </is>
      </c>
      <c r="B15" s="69" t="inlineStr">
        <is>
          <t>SR-E Personnel mécontent ou ex-personnel</t>
        </is>
      </c>
      <c r="C15" s="69" t="inlineStr">
        <is>
          <t>Détourner la paie ou frauder le système de gestion RH</t>
        </is>
      </c>
      <c r="D15" s="72" t="inlineStr">
        <is>
          <t>Assez motivé</t>
        </is>
      </c>
      <c r="E15" s="72" t="inlineStr">
        <is>
          <t>Ressources significatives</t>
        </is>
      </c>
      <c r="F15" s="64">
        <f>IFERROR(INDEX('A2.0 Échelle de pertinence'!$B$10:$E$13,MATCH(D15,'A2.0 Échelle de pertinence'!$A$10:$A$13,0),MATCH(E15,'A2.0 Échelle de pertinence'!$B$9:$E$9,0)),"")</f>
        <v/>
      </c>
      <c r="G15" s="68" t="inlineStr">
        <is>
          <t>Retenu</t>
        </is>
      </c>
      <c r="H15" s="68" t="inlineStr">
        <is>
          <t>ER05</t>
        </is>
      </c>
    </row>
    <row r="16" ht="55.5" customHeight="1" s="56">
      <c r="A16" s="64" t="inlineStr">
        <is>
          <t>C09</t>
        </is>
      </c>
      <c r="B16" s="66" t="inlineStr">
        <is>
          <t>SR-E Personnel mécontent ou ex-personnel</t>
        </is>
      </c>
      <c r="C16" s="66" t="inlineStr">
        <is>
          <t>Détruire ou altérer des données par vengeance</t>
        </is>
      </c>
      <c r="D16" s="71" t="inlineStr">
        <is>
          <t>Assez motivé</t>
        </is>
      </c>
      <c r="E16" s="71" t="inlineStr">
        <is>
          <t>Ressources significatives</t>
        </is>
      </c>
      <c r="F16" s="64">
        <f>IFERROR(INDEX('A2.0 Échelle de pertinence'!$B$10:$E$13,MATCH(D16,'A2.0 Échelle de pertinence'!$A$10:$A$13,0),MATCH(E16,'A2.0 Échelle de pertinence'!$B$9:$E$9,0)),"")</f>
        <v/>
      </c>
      <c r="G16" s="64" t="inlineStr">
        <is>
          <t>Retenu</t>
        </is>
      </c>
      <c r="H16" s="64" t="inlineStr">
        <is>
          <t>ER05, ER09</t>
        </is>
      </c>
    </row>
  </sheetData>
  <mergeCells count="3">
    <mergeCell ref="A1:H2"/>
    <mergeCell ref="A6:H6"/>
    <mergeCell ref="A4:H4"/>
  </mergeCells>
  <conditionalFormatting sqref="F8:F16">
    <cfRule type="cellIs" rank="0" priority="2" equalAverage="0" operator="equal" aboveAverage="0" dxfId="0" text="" percent="0" bottom="0">
      <formula>"Peu pertinent"</formula>
    </cfRule>
    <cfRule type="cellIs" rank="0" priority="3" equalAverage="0" operator="equal" aboveAverage="0" dxfId="1" text="" percent="0" bottom="0">
      <formula>"Moyennement pertinent"</formula>
    </cfRule>
    <cfRule type="cellIs" rank="0" priority="4" equalAverage="0" operator="equal" aboveAverage="0" dxfId="2" text="" percent="0" bottom="0">
      <formula>"Plutôt pertinent"</formula>
    </cfRule>
    <cfRule type="cellIs" rank="0" priority="5" equalAverage="0" operator="equal" aboveAverage="0" dxfId="3" text="" percent="0" bottom="0">
      <formula>"Très pertinent"</formula>
    </cfRule>
  </conditionalFormatting>
  <dataValidations count="3">
    <dataValidation sqref="D8:D16" showDropDown="0" showInputMessage="0" showErrorMessage="0" allowBlank="0" errorTitle="Valeur invalide" error="Veuillez choisir une motivation dans la liste." type="list" errorStyle="stop" operator="between">
      <formula1>'A2.0 Échelle de pertinence'!$A$10:$A$13</formula1>
      <formula2>0</formula2>
    </dataValidation>
    <dataValidation sqref="E8:E16" showDropDown="0" showInputMessage="0" showErrorMessage="0" allowBlank="0" errorTitle="Valeur invalide" error="Veuillez choisir un niveau de ressources dans la liste." type="list" errorStyle="stop" operator="between">
      <formula1>'A2.0 Échelle de pertinence'!$B$9:$E$9</formula1>
      <formula2>0</formula2>
    </dataValidation>
    <dataValidation sqref="G8:G16" showDropDown="0" showInputMessage="0" showErrorMessage="0" allowBlank="0" errorTitle="Valeur invalide" error="Choisir parmi : Retenu, Surveillance, Écarté." type="list" errorStyle="stop" operator="between">
      <formula1>"Retenu,Surveillance,Écarté"</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F21"/>
  <sheetViews>
    <sheetView showFormulas="0" showGridLines="0" showRowColHeaders="1" showZeros="1" rightToLeft="0" tabSelected="0"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55" min="1" max="1"/>
    <col width="36" customWidth="1" style="55" min="2" max="2"/>
    <col width="10" customWidth="1" style="55" min="3" max="3"/>
    <col width="9" customWidth="1" style="55" min="4" max="4"/>
    <col width="50" customWidth="1" style="55" min="5" max="5"/>
    <col width="22" customWidth="1" style="55" min="6" max="6"/>
  </cols>
  <sheetData>
    <row r="1" ht="25.5" customHeight="1" s="56">
      <c r="A1" s="57" t="inlineStr">
        <is>
          <t>A2.3 - Liens entre les couples SR/OV et les événements redoutés</t>
        </is>
      </c>
    </row>
    <row r="2" ht="25.5" customHeight="1" s="56"/>
    <row r="4" ht="90" customHeight="1" s="56">
      <c r="A4" s="60" t="inlineStr">
        <is>
          <t>Synthèse rapprochant les événements redoutés de A1.4 et les couples SR/OV de A2.2 — équivalent du visuel de la slide 32 du cours. Pour chaque ER, on liste les couples qui le portent avec leur pertinence et leur décision. Cette synthèse alimente directement l'atelier 3 : seuls les couples Retenus sont déclinés en scénarios stratégiques. ER07 (usurpation d'identité) n'est associé à aucun couple en propre car il s'agit d'un événement pivot, étape intermédiaire dans la majorité des couples opérants (notamment C01, C03, C05, C08).</t>
        </is>
      </c>
      <c r="B4" s="61" t="n"/>
      <c r="C4" s="61" t="n"/>
      <c r="D4" s="61" t="n"/>
      <c r="E4" s="61" t="n"/>
      <c r="F4" s="61" t="n"/>
    </row>
    <row r="6" ht="21.75" customHeight="1" s="56">
      <c r="A6" s="94" t="inlineStr">
        <is>
          <t>Couples SR/OV portant chaque événement redouté (triés par gravité descendante)</t>
        </is>
      </c>
    </row>
    <row r="7" ht="31.5" customHeight="1" s="56">
      <c r="A7" s="62" t="inlineStr">
        <is>
          <t>Code ER</t>
        </is>
      </c>
      <c r="B7" s="62" t="inlineStr">
        <is>
          <t>Événement redouté</t>
        </is>
      </c>
      <c r="C7" s="62" t="inlineStr">
        <is>
          <t>Gravité</t>
        </is>
      </c>
      <c r="D7" s="62" t="inlineStr">
        <is>
          <t>Code couple</t>
        </is>
      </c>
      <c r="E7" s="62" t="inlineStr">
        <is>
          <t>Couple SR/OV</t>
        </is>
      </c>
      <c r="F7" s="62" t="inlineStr">
        <is>
          <t>Pertinence</t>
        </is>
      </c>
    </row>
    <row r="8" ht="36" customHeight="1" s="56">
      <c r="A8" s="64" t="inlineStr">
        <is>
          <t>ER01</t>
        </is>
      </c>
      <c r="B8" s="66" t="inlineStr">
        <is>
          <t>Fuite massive des données personnelles des étudiants et personnels</t>
        </is>
      </c>
      <c r="C8" s="81" t="inlineStr">
        <is>
          <t>G4</t>
        </is>
      </c>
      <c r="D8" s="64" t="inlineStr">
        <is>
          <t>C04</t>
        </is>
      </c>
      <c r="E8" s="66" t="inlineStr">
        <is>
          <t>SR-B Cybercriminel × Revente de données personnelles</t>
        </is>
      </c>
      <c r="F8" s="107" t="inlineStr">
        <is>
          <t>Plutôt pertinent</t>
        </is>
      </c>
    </row>
    <row r="9" ht="36" customHeight="1" s="56">
      <c r="A9" s="80" t="n"/>
      <c r="B9" s="80" t="n"/>
      <c r="C9" s="80" t="n"/>
      <c r="D9" s="64" t="inlineStr">
        <is>
          <t>C06</t>
        </is>
      </c>
      <c r="E9" s="66" t="inlineStr">
        <is>
          <t>SR-D Hacktiviste × Publication de données pour discrédit</t>
        </is>
      </c>
      <c r="F9" s="108" t="inlineStr">
        <is>
          <t>Moyennement pertinent</t>
        </is>
      </c>
    </row>
    <row r="10" ht="36" customHeight="1" s="56">
      <c r="A10" s="64" t="inlineStr">
        <is>
          <t>ER06</t>
        </is>
      </c>
      <c r="B10" s="66" t="inlineStr">
        <is>
          <t>Interruption massive et simultanée de l'ensemble des services numériques</t>
        </is>
      </c>
      <c r="C10" s="81" t="inlineStr">
        <is>
          <t>G4</t>
        </is>
      </c>
      <c r="D10" s="64" t="inlineStr">
        <is>
          <t>C03</t>
        </is>
      </c>
      <c r="E10" s="66" t="inlineStr">
        <is>
          <t>SR-B Cybercriminel × Extorsion par rançongiciel</t>
        </is>
      </c>
      <c r="F10" s="109" t="inlineStr">
        <is>
          <t>Très pertinent</t>
        </is>
      </c>
    </row>
    <row r="11" ht="36" customHeight="1" s="56">
      <c r="A11" s="64" t="inlineStr">
        <is>
          <t>ER02</t>
        </is>
      </c>
      <c r="B11" s="66" t="inlineStr">
        <is>
          <t>Fuite des données et résultats de recherche</t>
        </is>
      </c>
      <c r="C11" s="84" t="inlineStr">
        <is>
          <t>G3</t>
        </is>
      </c>
      <c r="D11" s="64" t="inlineStr">
        <is>
          <t>C05</t>
        </is>
      </c>
      <c r="E11" s="66" t="inlineStr">
        <is>
          <t>SR-C Acteur étatique × Exfiltration du patrimoine scientifique</t>
        </is>
      </c>
      <c r="F11" s="109" t="inlineStr">
        <is>
          <t>Très pertinent</t>
        </is>
      </c>
    </row>
    <row r="12" ht="36" customHeight="1" s="56">
      <c r="A12" s="64" t="inlineStr">
        <is>
          <t>ER03</t>
        </is>
      </c>
      <c r="B12" s="66" t="inlineStr">
        <is>
          <t>Altération frauduleuse des notes, moyennes ou diplômes</t>
        </is>
      </c>
      <c r="C12" s="84" t="inlineStr">
        <is>
          <t>G3</t>
        </is>
      </c>
      <c r="D12" s="64" t="inlineStr">
        <is>
          <t>C01</t>
        </is>
      </c>
      <c r="E12" s="66" t="inlineStr">
        <is>
          <t>SR-A Étudiant × Compromission des résultats académiques</t>
        </is>
      </c>
      <c r="F12" s="107" t="inlineStr">
        <is>
          <t>Plutôt pertinent</t>
        </is>
      </c>
    </row>
    <row r="13" ht="36" customHeight="1" s="56">
      <c r="A13" s="64" t="inlineStr">
        <is>
          <t>ER04</t>
        </is>
      </c>
      <c r="B13" s="66" t="inlineStr">
        <is>
          <t>Interruption de l'accès aux services pédagogiques &gt; 24 h (notamment examens)</t>
        </is>
      </c>
      <c r="C13" s="84" t="inlineStr">
        <is>
          <t>G3</t>
        </is>
      </c>
      <c r="D13" s="64" t="inlineStr">
        <is>
          <t>C03</t>
        </is>
      </c>
      <c r="E13" s="66" t="inlineStr">
        <is>
          <t>SR-B Cybercriminel × Extorsion par rançongiciel (effet de bord)</t>
        </is>
      </c>
      <c r="F13" s="109" t="inlineStr">
        <is>
          <t>Très pertinent</t>
        </is>
      </c>
    </row>
    <row r="14" ht="36" customHeight="1" s="56">
      <c r="A14" s="78" t="n"/>
      <c r="B14" s="78" t="n"/>
      <c r="C14" s="78" t="n"/>
      <c r="D14" s="64" t="inlineStr">
        <is>
          <t>C02</t>
        </is>
      </c>
      <c r="E14" s="66" t="inlineStr">
        <is>
          <t>SR-A Étudiant × Sabotage opportuniste</t>
        </is>
      </c>
      <c r="F14" s="108" t="inlineStr">
        <is>
          <t>Moyennement pertinent</t>
        </is>
      </c>
    </row>
    <row r="15" ht="36" customHeight="1" s="56">
      <c r="A15" s="80" t="n"/>
      <c r="B15" s="80" t="n"/>
      <c r="C15" s="80" t="n"/>
      <c r="D15" s="64" t="inlineStr">
        <is>
          <t>C07</t>
        </is>
      </c>
      <c r="E15" s="66" t="inlineStr">
        <is>
          <t>SR-D Hacktiviste × Défacement / sabotage image</t>
        </is>
      </c>
      <c r="F15" s="108" t="inlineStr">
        <is>
          <t>Moyennement pertinent</t>
        </is>
      </c>
    </row>
    <row r="16" ht="36" customHeight="1" s="56">
      <c r="A16" s="64" t="inlineStr">
        <is>
          <t>ER05</t>
        </is>
      </c>
      <c r="B16" s="66" t="inlineStr">
        <is>
          <t>Altération frauduleuse de la paie et des données RH</t>
        </is>
      </c>
      <c r="C16" s="84" t="inlineStr">
        <is>
          <t>G3</t>
        </is>
      </c>
      <c r="D16" s="64" t="inlineStr">
        <is>
          <t>C08</t>
        </is>
      </c>
      <c r="E16" s="66" t="inlineStr">
        <is>
          <t>SR-E Personnel mécontent × Détournement de la paie</t>
        </is>
      </c>
      <c r="F16" s="107" t="inlineStr">
        <is>
          <t>Plutôt pertinent</t>
        </is>
      </c>
    </row>
    <row r="17" ht="36" customHeight="1" s="56">
      <c r="A17" s="80" t="n"/>
      <c r="B17" s="80" t="n"/>
      <c r="C17" s="80" t="n"/>
      <c r="D17" s="64" t="inlineStr">
        <is>
          <t>C09</t>
        </is>
      </c>
      <c r="E17" s="66" t="inlineStr">
        <is>
          <t>SR-E Personnel mécontent × Vengeance par destruction (volet RH)</t>
        </is>
      </c>
      <c r="F17" s="107" t="inlineStr">
        <is>
          <t>Plutôt pertinent</t>
        </is>
      </c>
    </row>
    <row r="18" ht="36" customHeight="1" s="56">
      <c r="A18" s="64" t="inlineStr">
        <is>
          <t>ER07</t>
        </is>
      </c>
      <c r="B18" s="66" t="inlineStr">
        <is>
          <t>Usurpation d'identité d'un personnel ou enseignant (événement pivot)</t>
        </is>
      </c>
      <c r="C18" s="84" t="inlineStr">
        <is>
          <t>G3</t>
        </is>
      </c>
      <c r="D18" s="64" t="inlineStr">
        <is>
          <t>—</t>
        </is>
      </c>
      <c r="E18" s="66" t="inlineStr">
        <is>
          <t>Pivot : étape intermédiaire dans la majorité des couples opérants (notamment C01, C03, C05, C08)</t>
        </is>
      </c>
      <c r="F18" s="71" t="inlineStr">
        <is>
          <t>n/a</t>
        </is>
      </c>
    </row>
    <row r="19" ht="36" customHeight="1" s="56">
      <c r="A19" s="64" t="inlineStr">
        <is>
          <t>ER09</t>
        </is>
      </c>
      <c r="B19" s="66" t="inlineStr">
        <is>
          <t>Perte ou destruction définitive des données de recherche</t>
        </is>
      </c>
      <c r="C19" s="84" t="inlineStr">
        <is>
          <t>G3</t>
        </is>
      </c>
      <c r="D19" s="64" t="inlineStr">
        <is>
          <t>C09</t>
        </is>
      </c>
      <c r="E19" s="66" t="inlineStr">
        <is>
          <t>SR-E Personnel mécontent × Vengeance par destruction</t>
        </is>
      </c>
      <c r="F19" s="107" t="inlineStr">
        <is>
          <t>Plutôt pertinent</t>
        </is>
      </c>
    </row>
    <row r="20" ht="36" customHeight="1" s="56">
      <c r="A20" s="64" t="inlineStr">
        <is>
          <t>ER08</t>
        </is>
      </c>
      <c r="B20" s="66" t="inlineStr">
        <is>
          <t>Détournement de la messagerie pour campagnes externes malveillantes</t>
        </is>
      </c>
      <c r="C20" s="87" t="inlineStr">
        <is>
          <t>G2</t>
        </is>
      </c>
      <c r="D20" s="64" t="inlineStr">
        <is>
          <t>C02</t>
        </is>
      </c>
      <c r="E20" s="66" t="inlineStr">
        <is>
          <t>SR-A Étudiant × Sabotage opportuniste (volet mail)</t>
        </is>
      </c>
      <c r="F20" s="108" t="inlineStr">
        <is>
          <t>Moyennement pertinent</t>
        </is>
      </c>
    </row>
    <row r="21" ht="36" customHeight="1" s="56">
      <c r="A21" s="80" t="n"/>
      <c r="B21" s="80" t="n"/>
      <c r="C21" s="80" t="n"/>
      <c r="D21" s="64" t="inlineStr">
        <is>
          <t>C07</t>
        </is>
      </c>
      <c r="E21" s="66" t="inlineStr">
        <is>
          <t>SR-D Hacktiviste × Défacement / sabotage image (volet mail)</t>
        </is>
      </c>
      <c r="F21" s="108" t="inlineStr">
        <is>
          <t>Moyennement pertinent</t>
        </is>
      </c>
    </row>
  </sheetData>
  <mergeCells count="15">
    <mergeCell ref="C13:C15"/>
    <mergeCell ref="A8:A9"/>
    <mergeCell ref="C8:C9"/>
    <mergeCell ref="C20:C21"/>
    <mergeCell ref="B13:B15"/>
    <mergeCell ref="A1:F2"/>
    <mergeCell ref="A6:F6"/>
    <mergeCell ref="B8:B9"/>
    <mergeCell ref="A20:A21"/>
    <mergeCell ref="A16:A17"/>
    <mergeCell ref="A4:F4"/>
    <mergeCell ref="B16:B17"/>
    <mergeCell ref="C16:C17"/>
    <mergeCell ref="B20:B21"/>
    <mergeCell ref="A13:A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E23"/>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5" min="1" max="1"/>
    <col width="32" customWidth="1" style="55" min="2" max="5"/>
  </cols>
  <sheetData>
    <row r="1" ht="25.5" customHeight="1" s="56">
      <c r="A1" s="57" t="inlineStr">
        <is>
          <t>A3.0 - Critères d'évaluation de la dangerosité des parties prenantes</t>
        </is>
      </c>
    </row>
    <row r="2" ht="25.5" customHeight="1" s="56"/>
    <row r="4" ht="79.5" customHeight="1" s="56">
      <c r="A4" s="60" t="inlineStr">
        <is>
          <t>Échelles d'évaluation issues du guide ANSSI EBIOS RM (p.45-47) et de la slide 36 du cours 4CS08. Chaque partie prenante est notée de 1 à 4 sur quatre critères regroupés en deux blocs : l'EXPOSITION (Dépendance × Pénétration) et la FIABILITÉ CYBER (Maturité cyber × Confiance). Le niveau de dangerosité est calculé par la formule : Dangerosité = (Dépendance × Pénétration) / (Maturité × Confiance).</t>
        </is>
      </c>
      <c r="B4" s="61" t="n"/>
      <c r="C4" s="61" t="n"/>
      <c r="D4" s="61" t="n"/>
      <c r="E4" s="61" t="n"/>
    </row>
    <row r="6" ht="21.75" customHeight="1" s="56">
      <c r="A6" s="94" t="inlineStr">
        <is>
          <t>Échelles d'évaluation (4 niveaux par critère)</t>
        </is>
      </c>
    </row>
    <row r="7" ht="24" customHeight="1" s="56">
      <c r="A7" s="110" t="n"/>
      <c r="B7" s="99" t="inlineStr">
        <is>
          <t>EXPOSITION (taille de la bulle sur le radar)</t>
        </is>
      </c>
      <c r="C7" s="61" t="n"/>
      <c r="D7" s="99" t="inlineStr">
        <is>
          <t>FIABILITÉ CYBER (couleur de la bulle sur le radar)</t>
        </is>
      </c>
      <c r="E7" s="61" t="n"/>
    </row>
    <row r="8" ht="27.75" customHeight="1" s="56">
      <c r="A8" s="62" t="inlineStr">
        <is>
          <t>Niveau</t>
        </is>
      </c>
      <c r="B8" s="62" t="inlineStr">
        <is>
          <t>Dépendance</t>
        </is>
      </c>
      <c r="C8" s="62" t="inlineStr">
        <is>
          <t>Pénétration</t>
        </is>
      </c>
      <c r="D8" s="62" t="inlineStr">
        <is>
          <t>Maturité cyber</t>
        </is>
      </c>
      <c r="E8" s="62" t="inlineStr">
        <is>
          <t>Confiance</t>
        </is>
      </c>
    </row>
    <row r="9" ht="87.75" customHeight="1" s="56">
      <c r="A9" s="64" t="n">
        <v>1</v>
      </c>
      <c r="B9" s="66" t="inlineStr">
        <is>
          <t>Pas de lien avec le SI de la partie prenante pour réaliser la mission.</t>
        </is>
      </c>
      <c r="C9" s="66" t="inlineStr">
        <is>
          <t>Pas d'accès ou accès avec des privilèges de type utilisateur à des terminaux utilisateurs (poste de travail, ordiphone, etc.).</t>
        </is>
      </c>
      <c r="D9" s="66" t="inlineStr">
        <is>
          <t>Des règles d'hygiène sont appliquées ponctuellement et non formalisées. La capacité de réaction sur incident est incertaine.</t>
        </is>
      </c>
      <c r="E9" s="66" t="inlineStr">
        <is>
          <t>Les intentions de la partie prenante ne sont pas connues.</t>
        </is>
      </c>
    </row>
    <row r="10" ht="87.75" customHeight="1" s="56">
      <c r="A10" s="68" t="n">
        <v>2</v>
      </c>
      <c r="B10" s="69" t="inlineStr">
        <is>
          <t>Lien avec le SI de la partie prenante utile à la réalisation de la mission.</t>
        </is>
      </c>
      <c r="C10" s="69" t="inlineStr">
        <is>
          <t>Accès avec privilèges de type administrateur à des terminaux utilisateurs (parc informatique, flotte de terminaux mobiles, etc.) ou accès physique aux bureaux de l'organisme.</t>
        </is>
      </c>
      <c r="D10" s="69" t="inlineStr">
        <is>
          <t>Les règles d'hygiène et la réglementation sont prises en compte, sans intégration dans une politique globale. La sécurité numérique est assurée selon un mode réactif.</t>
        </is>
      </c>
      <c r="E10" s="69" t="inlineStr">
        <is>
          <t>Les intentions de la partie prenante sont considérées comme neutres.</t>
        </is>
      </c>
    </row>
    <row r="11" ht="87.75" customHeight="1" s="56">
      <c r="A11" s="64" t="n">
        <v>3</v>
      </c>
      <c r="B11" s="66" t="inlineStr">
        <is>
          <t>Lien avec le SI de la partie prenante indispensable mais non exclusif (possible substitution).</t>
        </is>
      </c>
      <c r="C11" s="66" t="inlineStr">
        <is>
          <t>Accès avec privilèges de type administrateur à des serveurs « métier » (serveur de fichiers, bases de données, serveur web, serveur d'application, etc.).</t>
        </is>
      </c>
      <c r="D11" s="66" t="inlineStr">
        <is>
          <t>Une politique globale est appliquée en matière de sécurité numérique. Celle-ci est assurée selon un mode réactif, avec une recherche de centralisation et d'anticipation sur certains risques.</t>
        </is>
      </c>
      <c r="E11" s="66" t="inlineStr">
        <is>
          <t>Les intentions de la partie prenante sont connues et probablement positives.</t>
        </is>
      </c>
    </row>
    <row r="12" ht="87.75" customHeight="1" s="56">
      <c r="A12" s="68" t="n">
        <v>4</v>
      </c>
      <c r="B12" s="69" t="inlineStr">
        <is>
          <t>Lien avec le SI de la partie prenante indispensable et unique (pas de substitution possible).</t>
        </is>
      </c>
      <c r="C12" s="69" t="inlineStr">
        <is>
          <t>Accès avec privilèges de type administrateur à des équipements d'infrastructure (annuaires d'entreprise, DNS, DHCP, switchs, pare-feu, hyperviseurs, baies de stockage, etc.) ou accès physique aux salles serveurs de l'organisme.</t>
        </is>
      </c>
      <c r="D12" s="69" t="inlineStr">
        <is>
          <t>La partie prenante met en œuvre une politique de management du risque. La politique est intégrée et prend pleinement en compte une dimension proactive.</t>
        </is>
      </c>
      <c r="E12" s="69" t="inlineStr">
        <is>
          <t>Les intentions de la partie prenante sont parfaitement connues et pleinement compatibles avec celles de l'organisation étudiée.</t>
        </is>
      </c>
    </row>
    <row r="14" ht="21.75" customHeight="1" s="56">
      <c r="A14" s="94" t="inlineStr">
        <is>
          <t>Seuils des zones de dangerosité (issus du guide ANSSI p.47)</t>
        </is>
      </c>
    </row>
    <row r="15" ht="25.5" customHeight="1" s="56">
      <c r="A15" s="62" t="inlineStr">
        <is>
          <t>Zone</t>
        </is>
      </c>
      <c r="B15" s="62" t="inlineStr">
        <is>
          <t>Couleur</t>
        </is>
      </c>
      <c r="C15" s="62" t="inlineStr">
        <is>
          <t>Borne inférieure</t>
        </is>
      </c>
      <c r="D15" s="62" t="inlineStr">
        <is>
          <t>Borne supérieure</t>
        </is>
      </c>
      <c r="E15" s="62" t="inlineStr">
        <is>
          <t>Interprétation</t>
        </is>
      </c>
    </row>
    <row r="16" ht="36" customHeight="1" s="56">
      <c r="A16" s="90" t="inlineStr">
        <is>
          <t>Veille</t>
        </is>
      </c>
      <c r="B16" s="71" t="inlineStr">
        <is>
          <t>Vert</t>
        </is>
      </c>
      <c r="C16" s="71" t="inlineStr">
        <is>
          <t>0</t>
        </is>
      </c>
      <c r="D16" s="71" t="inlineStr">
        <is>
          <t>0,2</t>
        </is>
      </c>
      <c r="E16" s="66" t="inlineStr">
        <is>
          <t>Niveau de dangerosité acceptable, surveillance simple.</t>
        </is>
      </c>
    </row>
    <row r="17" ht="36" customHeight="1" s="56">
      <c r="A17" s="87" t="inlineStr">
        <is>
          <t>Contrôle</t>
        </is>
      </c>
      <c r="B17" s="71" t="inlineStr">
        <is>
          <t>Jaune / Orange</t>
        </is>
      </c>
      <c r="C17" s="71" t="inlineStr">
        <is>
          <t>0,2</t>
        </is>
      </c>
      <c r="D17" s="71" t="inlineStr">
        <is>
          <t>2,5</t>
        </is>
      </c>
      <c r="E17" s="66" t="inlineStr">
        <is>
          <t>Niveau de dangerosité modéré, mesures de contrôle à maintenir et renforcer si nécessaire.</t>
        </is>
      </c>
    </row>
    <row r="18" ht="36" customHeight="1" s="56">
      <c r="A18" s="81" t="inlineStr">
        <is>
          <t>Danger</t>
        </is>
      </c>
      <c r="B18" s="71" t="inlineStr">
        <is>
          <t>Rouge</t>
        </is>
      </c>
      <c r="C18" s="71" t="inlineStr">
        <is>
          <t>2,5</t>
        </is>
      </c>
      <c r="D18" s="71" t="inlineStr">
        <is>
          <t>16 (max)</t>
        </is>
      </c>
      <c r="E18" s="66" t="inlineStr">
        <is>
          <t>Partie prenante critique (PPC) : intégration prioritaire aux scénarios stratégiques et mesures de réduction.</t>
        </is>
      </c>
    </row>
    <row r="20" ht="21.75" customHeight="1" s="56">
      <c r="A20" s="94" t="inlineStr">
        <is>
          <t>Paliers d'agrégation (taille et couleur des bulles sur le radar)</t>
        </is>
      </c>
    </row>
    <row r="21" ht="24" customHeight="1" s="56">
      <c r="A21" s="62" t="inlineStr">
        <is>
          <t>Critère</t>
        </is>
      </c>
      <c r="B21" s="62" t="inlineStr">
        <is>
          <t>Palier 1</t>
        </is>
      </c>
      <c r="C21" s="62" t="inlineStr">
        <is>
          <t>Palier 2</t>
        </is>
      </c>
      <c r="D21" s="62" t="inlineStr">
        <is>
          <t>Palier 3</t>
        </is>
      </c>
      <c r="E21" s="62" t="inlineStr">
        <is>
          <t>Palier 4</t>
        </is>
      </c>
    </row>
    <row r="22" ht="21.75" customHeight="1" s="56">
      <c r="A22" s="64" t="inlineStr">
        <is>
          <t>EXPOSITION (D × P)</t>
        </is>
      </c>
      <c r="B22" s="71" t="inlineStr">
        <is>
          <t>&lt; 3</t>
        </is>
      </c>
      <c r="C22" s="71" t="inlineStr">
        <is>
          <t>3 à 6</t>
        </is>
      </c>
      <c r="D22" s="71" t="inlineStr">
        <is>
          <t>7 à 9</t>
        </is>
      </c>
      <c r="E22" s="71" t="inlineStr">
        <is>
          <t>&gt; 9</t>
        </is>
      </c>
    </row>
    <row r="23" ht="21.75" customHeight="1" s="56">
      <c r="A23" s="68" t="inlineStr">
        <is>
          <t>FIABILITÉ CYBER (M × C)</t>
        </is>
      </c>
      <c r="B23" s="72" t="inlineStr">
        <is>
          <t>&lt; 4</t>
        </is>
      </c>
      <c r="C23" s="72" t="inlineStr">
        <is>
          <t>4 à 5</t>
        </is>
      </c>
      <c r="D23" s="72" t="inlineStr">
        <is>
          <t>6 à 7</t>
        </is>
      </c>
      <c r="E23" s="72" t="inlineStr">
        <is>
          <t>&gt; 7</t>
        </is>
      </c>
    </row>
  </sheetData>
  <mergeCells count="7">
    <mergeCell ref="A4:E4"/>
    <mergeCell ref="A20:E20"/>
    <mergeCell ref="D7:E7"/>
    <mergeCell ref="B7:C7"/>
    <mergeCell ref="A1:E2"/>
    <mergeCell ref="A14:E14"/>
    <mergeCell ref="A6:E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4"/>
  <sheetViews>
    <sheetView showFormulas="0" showGridLines="0" showRowColHeaders="1" showZeros="1" rightToLeft="0" tabSelected="0"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5" min="1" max="1"/>
    <col width="14" customWidth="1" style="55" min="2" max="2"/>
    <col width="32" customWidth="1" style="55" min="3" max="3"/>
    <col width="50" customWidth="1" style="55" min="4" max="4"/>
    <col width="30" customWidth="1" style="55" min="5" max="5"/>
  </cols>
  <sheetData>
    <row r="1" ht="25.5" customHeight="1" s="56">
      <c r="A1" s="57" t="inlineStr">
        <is>
          <t>A3.1 - Parties prenantes de l'écosystème d'UniCampus+</t>
        </is>
      </c>
    </row>
    <row r="2" ht="25.5" customHeight="1" s="56"/>
    <row r="4" ht="84" customHeight="1" s="56">
      <c r="A4" s="60" t="inlineStr">
        <is>
          <t>Liste des parties prenantes (PP) externes identifiées dans l'écosystème d'UniCampus+. Conformément au guide ANSSI (p.91) : « un élément est une partie prenante si le commanditaire du périmètre de l'étude n'en est pas responsable ». Les étudiants, enseignants-chercheurs et personnels sont donc internes et ne figurent pas ici (ils ont été traités comme sources de risque en A2). Les clients au sens commercial n'existent pas pour une université publique — seules les catégories Partenaires et Prestataires sont retenues.</t>
        </is>
      </c>
      <c r="B4" s="61" t="n"/>
      <c r="C4" s="61" t="n"/>
      <c r="D4" s="61" t="n"/>
      <c r="E4" s="61" t="n"/>
    </row>
    <row r="6" ht="21.75" customHeight="1" s="56">
      <c r="A6" s="94" t="inlineStr">
        <is>
          <t>Typologie des parties prenantes de l'écosystème</t>
        </is>
      </c>
    </row>
    <row r="7" ht="31.5" customHeight="1" s="56">
      <c r="A7" s="62" t="inlineStr">
        <is>
          <t>Code PP</t>
        </is>
      </c>
      <c r="B7" s="62" t="inlineStr">
        <is>
          <t>Catégorie</t>
        </is>
      </c>
      <c r="C7" s="62" t="inlineStr">
        <is>
          <t>Libellé</t>
        </is>
      </c>
      <c r="D7" s="62" t="inlineStr">
        <is>
          <t>Description et nature de la relation</t>
        </is>
      </c>
      <c r="E7" s="62" t="inlineStr">
        <is>
          <t>Interaction avec UniCampus+</t>
        </is>
      </c>
    </row>
    <row r="8" ht="87.75" customHeight="1" s="56">
      <c r="A8" s="64" t="inlineStr">
        <is>
          <t>PA1</t>
        </is>
      </c>
      <c r="B8" s="71" t="inlineStr">
        <is>
          <t>Partenaire</t>
        </is>
      </c>
      <c r="C8" s="105" t="inlineStr">
        <is>
          <t>Laboratoires de recherche partenaires</t>
        </is>
      </c>
      <c r="D8" s="66" t="inlineStr">
        <is>
          <t>Autres établissements de recherche (universités, EPIC, EPST) avec lesquels les laboratoires d'UniCampus+ co-publient, partagent des données scientifiques et conduisent des projets communs (ANR, projets européens).</t>
        </is>
      </c>
      <c r="E8" s="66" t="inlineStr">
        <is>
          <t>Partage de données de recherche (NFS / Samba), comptes invités, conventions de collaboration.</t>
        </is>
      </c>
    </row>
    <row r="9" ht="87.75" customHeight="1" s="56">
      <c r="A9" s="68" t="inlineStr">
        <is>
          <t>PA2</t>
        </is>
      </c>
      <c r="B9" s="72" t="inlineStr">
        <is>
          <t>Partenaire</t>
        </is>
      </c>
      <c r="C9" s="106" t="inlineStr">
        <is>
          <t>Partenaires industriels et financeurs</t>
        </is>
      </c>
      <c r="D9" s="69" t="inlineStr">
        <is>
          <t>Entreprises co-finançant des projets de recherche bilatéraux, chaires industrielles, contrats CIFRE. Peuvent recevoir des livrables de recherche et fournir des données ou des moyens.</t>
        </is>
      </c>
      <c r="E9" s="69" t="inlineStr">
        <is>
          <t>Échanges de livrables, accès ponctuel aux résultats intermédiaires, contrats de propriété intellectuelle.</t>
        </is>
      </c>
    </row>
    <row r="10" ht="87.75" customHeight="1" s="56">
      <c r="A10" s="64" t="inlineStr">
        <is>
          <t>PA3</t>
        </is>
      </c>
      <c r="B10" s="71" t="inlineStr">
        <is>
          <t>Partenaire</t>
        </is>
      </c>
      <c r="C10" s="105" t="inlineStr">
        <is>
          <t>Ministère de l'Enseignement Supérieur (tutelle)</t>
        </is>
      </c>
      <c r="D10" s="66" t="inlineStr">
        <is>
          <t>Autorité de tutelle administrative et financière. Reçoit du reporting et opère des contrôles. Pas d'interconnexion SI directe mais transmission régulière de données institutionnelles.</t>
        </is>
      </c>
      <c r="E10" s="66" t="inlineStr">
        <is>
          <t>Reporting périodique, transmission de données agrégées (effectifs, indicateurs).</t>
        </is>
      </c>
    </row>
    <row r="11" ht="87.75" customHeight="1" s="56">
      <c r="A11" s="68" t="inlineStr">
        <is>
          <t>PA4</t>
        </is>
      </c>
      <c r="B11" s="72" t="inlineStr">
        <is>
          <t>Partenaire</t>
        </is>
      </c>
      <c r="C11" s="106" t="inlineStr">
        <is>
          <t>CNIL (régulateur RGPD)</t>
        </is>
      </c>
      <c r="D11" s="69" t="inlineStr">
        <is>
          <t>Autorité administrative indépendante de contrôle des données personnelles. Interaction réglementaire (notifications d'incidents, contrôles éventuels).</t>
        </is>
      </c>
      <c r="E11" s="69" t="inlineStr">
        <is>
          <t>Notifications d'incident sous 72 h, contrôles ponctuels, recommandations.</t>
        </is>
      </c>
    </row>
    <row r="12" ht="87.75" customHeight="1" s="56">
      <c r="A12" s="64" t="inlineStr">
        <is>
          <t>PR1</t>
        </is>
      </c>
      <c r="B12" s="71" t="inlineStr">
        <is>
          <t>Prestataire</t>
        </is>
      </c>
      <c r="C12" s="105" t="inlineStr">
        <is>
          <t>Éditeurs et mainteneurs logiciels</t>
        </is>
      </c>
      <c r="D12" s="66" t="inlineStr">
        <is>
          <t>Éditeurs des logiciels métier du SI : Moodle, application RH, OpenLDAP, Postfix/Dovecot. Fournissent les correctifs de sécurité et le support. Pas d'accès distant direct dans la maquette v1, mais peuvent intervenir en télémaintenance ponctuelle.</t>
        </is>
      </c>
      <c r="E12" s="66" t="inlineStr">
        <is>
          <t>Mises à jour, correctifs, support de niveau 2-3, télémaintenance occasionnelle.</t>
        </is>
      </c>
    </row>
    <row r="13" ht="87.75" customHeight="1" s="56">
      <c r="A13" s="68" t="inlineStr">
        <is>
          <t>PR2</t>
        </is>
      </c>
      <c r="B13" s="72" t="inlineStr">
        <is>
          <t>Prestataire</t>
        </is>
      </c>
      <c r="C13" s="106" t="inlineStr">
        <is>
          <t>RENATER (opérateur réseau de l'ESR)</t>
        </is>
      </c>
      <c r="D13" s="69" t="inlineStr">
        <is>
          <t>Opérateur du réseau national de l'enseignement supérieur et de la recherche français, assurant le raccordement Internet d'UniCampus+ et la fédération d'identités (Renater Identity Federation).</t>
        </is>
      </c>
      <c r="E13" s="69" t="inlineStr">
        <is>
          <t>Raccordement Internet, transit, services mutualisés (DNS, fédération d'identité).</t>
        </is>
      </c>
    </row>
    <row r="14" ht="87.75" customHeight="1" s="56">
      <c r="A14" s="64" t="inlineStr">
        <is>
          <t>PR3</t>
        </is>
      </c>
      <c r="B14" s="71" t="inlineStr">
        <is>
          <t>Prestataire</t>
        </is>
      </c>
      <c r="C14" s="105" t="inlineStr">
        <is>
          <t>Fournisseurs de bibliothèque numérique</t>
        </is>
      </c>
      <c r="D14" s="66" t="inlineStr">
        <is>
          <t>Fournisseurs externes de ressources documentaires accédées via la VM1.5 non instrumentée (Couperin, Cairn, EBSCO, ScienceDirect, etc.). Accès SSO/IP-based, hébergement chez le fournisseur.</t>
        </is>
      </c>
      <c r="E14" s="66" t="inlineStr">
        <is>
          <t>Accès aux ressources via IP filtering ou proxy d'authentification, transmission des historiques de consultation.</t>
        </is>
      </c>
    </row>
  </sheetData>
  <mergeCells count="3">
    <mergeCell ref="A6:E6"/>
    <mergeCell ref="A4:E4"/>
    <mergeCell ref="A1:E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K17"/>
  <sheetViews>
    <sheetView showFormulas="0" showGridLines="0" showRowColHeaders="1" showZeros="1" rightToLeft="0" tabSelected="0"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5" min="1" max="1"/>
    <col width="26" customWidth="1" style="55" min="2" max="2"/>
    <col width="11" customWidth="1" style="55" min="3" max="4"/>
    <col width="12" customWidth="1" style="55" min="5" max="5"/>
    <col width="11" customWidth="1" style="55" min="6" max="6"/>
    <col width="13" customWidth="1" style="55" min="7" max="8"/>
    <col width="14" customWidth="1" style="55" min="9" max="9"/>
    <col width="12" customWidth="1" style="55" min="10" max="10"/>
    <col width="14" customWidth="1" style="55" min="11" max="11"/>
  </cols>
  <sheetData>
    <row r="1" ht="25.5" customHeight="1" s="56">
      <c r="A1" s="57" t="inlineStr">
        <is>
          <t>A3.2 - Cartographie de dangerosité de l'écosystème</t>
        </is>
      </c>
    </row>
    <row r="2" ht="25.5" customHeight="1" s="56"/>
    <row r="4" ht="84" customHeight="1" s="56">
      <c r="A4" s="60" t="inlineStr">
        <is>
          <t>Évaluation de chaque partie prenante sur les 4 critères de A3.0 (notes 1-4). Les colonnes Exposition (D×P), Fiabilité cyber (M×C) et Dangerosité ((D×P)/(M×C)) sont calculées par formule. La zone (Veille / Contrôle / Danger) résulte de la dangerosité et des seuils ANSSI (0,2 et 2,5). Les parties prenantes en zone Danger sont les Parties Prenantes Critiques (PPC) à intégrer prioritairement aux scénarios stratégiques de A3.3. Le radar ci-dessous reproduit le visuel des slides 35-37 du cours.</t>
        </is>
      </c>
      <c r="B4" s="61" t="n"/>
      <c r="C4" s="61" t="n"/>
      <c r="D4" s="61" t="n"/>
      <c r="E4" s="61" t="n"/>
      <c r="F4" s="61" t="n"/>
      <c r="G4" s="61" t="n"/>
      <c r="H4" s="61" t="n"/>
      <c r="I4" s="61" t="n"/>
      <c r="J4" s="61" t="n"/>
      <c r="K4" s="61" t="n"/>
    </row>
    <row r="6" ht="21.75" customHeight="1" s="56">
      <c r="A6" s="94" t="inlineStr">
        <is>
          <t>Évaluation de la dangerosité des parties prenantes</t>
        </is>
      </c>
    </row>
    <row r="7" ht="43.5" customHeight="1" s="56">
      <c r="A7" s="62" t="inlineStr">
        <is>
          <t>Code PP</t>
        </is>
      </c>
      <c r="B7" s="62" t="inlineStr">
        <is>
          <t>Libellé</t>
        </is>
      </c>
      <c r="C7" s="62" t="inlineStr">
        <is>
          <t>Dépendance (D)</t>
        </is>
      </c>
      <c r="D7" s="62" t="inlineStr">
        <is>
          <t>Pénétration (P)</t>
        </is>
      </c>
      <c r="E7" s="62" t="inlineStr">
        <is>
          <t>Exposition (D×P)</t>
        </is>
      </c>
      <c r="F7" s="62" t="inlineStr">
        <is>
          <t>Maturité (M)</t>
        </is>
      </c>
      <c r="G7" s="62" t="inlineStr">
        <is>
          <t>Confiance (C)</t>
        </is>
      </c>
      <c r="H7" s="62" t="inlineStr">
        <is>
          <t>Fiabilité (M×C)</t>
        </is>
      </c>
      <c r="I7" s="62" t="inlineStr">
        <is>
          <t>Dangerosité ((D×P)/(M×C))</t>
        </is>
      </c>
      <c r="J7" s="62" t="inlineStr">
        <is>
          <t>Zone</t>
        </is>
      </c>
      <c r="K7" s="62" t="inlineStr">
        <is>
          <t>PPC ?</t>
        </is>
      </c>
    </row>
    <row r="8" ht="31.5" customHeight="1" s="56">
      <c r="A8" s="64" t="inlineStr">
        <is>
          <t>PA1</t>
        </is>
      </c>
      <c r="B8" s="66" t="inlineStr">
        <is>
          <t>Laboratoires de recherche partenaires</t>
        </is>
      </c>
      <c r="C8" s="71" t="n">
        <v>3</v>
      </c>
      <c r="D8" s="71" t="n">
        <v>3</v>
      </c>
      <c r="E8" s="71">
        <f>C8*D8</f>
        <v/>
      </c>
      <c r="F8" s="71" t="n">
        <v>2</v>
      </c>
      <c r="G8" s="71" t="n">
        <v>3</v>
      </c>
      <c r="H8" s="71">
        <f>F8*G8</f>
        <v/>
      </c>
      <c r="I8" s="111">
        <f>IFERROR(E8/H8,"")</f>
        <v/>
      </c>
      <c r="J8" s="64">
        <f>IF(I8="","",IF(I8&lt;0.2,"Veille",IF(I8&lt;2.5,"Contrôle","Danger")))</f>
        <v/>
      </c>
      <c r="K8" s="64">
        <f>IF(J8="Danger","Oui","Non")</f>
        <v/>
      </c>
    </row>
    <row r="9" ht="31.5" customHeight="1" s="56">
      <c r="A9" s="68" t="inlineStr">
        <is>
          <t>PA2</t>
        </is>
      </c>
      <c r="B9" s="69" t="inlineStr">
        <is>
          <t>Partenaires industriels et financeurs</t>
        </is>
      </c>
      <c r="C9" s="72" t="n">
        <v>2</v>
      </c>
      <c r="D9" s="72" t="n">
        <v>2</v>
      </c>
      <c r="E9" s="72">
        <f>C9*D9</f>
        <v/>
      </c>
      <c r="F9" s="72" t="n">
        <v>3</v>
      </c>
      <c r="G9" s="72" t="n">
        <v>3</v>
      </c>
      <c r="H9" s="72">
        <f>F9*G9</f>
        <v/>
      </c>
      <c r="I9" s="112">
        <f>IFERROR(E9/H9,"")</f>
        <v/>
      </c>
      <c r="J9" s="64">
        <f>IF(I9="","",IF(I9&lt;0.2,"Veille",IF(I9&lt;2.5,"Contrôle","Danger")))</f>
        <v/>
      </c>
      <c r="K9" s="68">
        <f>IF(J9="Danger","Oui","Non")</f>
        <v/>
      </c>
    </row>
    <row r="10" ht="31.5" customHeight="1" s="56">
      <c r="A10" s="64" t="inlineStr">
        <is>
          <t>PA3</t>
        </is>
      </c>
      <c r="B10" s="66" t="inlineStr">
        <is>
          <t>Ministère de l'Enseignement Supérieur</t>
        </is>
      </c>
      <c r="C10" s="71" t="n">
        <v>3</v>
      </c>
      <c r="D10" s="71" t="n">
        <v>1</v>
      </c>
      <c r="E10" s="71">
        <f>C10*D10</f>
        <v/>
      </c>
      <c r="F10" s="71" t="n">
        <v>4</v>
      </c>
      <c r="G10" s="71" t="n">
        <v>4</v>
      </c>
      <c r="H10" s="71">
        <f>F10*G10</f>
        <v/>
      </c>
      <c r="I10" s="111">
        <f>IFERROR(E10/H10,"")</f>
        <v/>
      </c>
      <c r="J10" s="64">
        <f>IF(I10="","",IF(I10&lt;0.2,"Veille",IF(I10&lt;2.5,"Contrôle","Danger")))</f>
        <v/>
      </c>
      <c r="K10" s="64">
        <f>IF(J10="Danger","Oui","Non")</f>
        <v/>
      </c>
    </row>
    <row r="11" ht="31.5" customHeight="1" s="56">
      <c r="A11" s="68" t="inlineStr">
        <is>
          <t>PA4</t>
        </is>
      </c>
      <c r="B11" s="69" t="inlineStr">
        <is>
          <t>CNIL (régulateur RGPD)</t>
        </is>
      </c>
      <c r="C11" s="72" t="n">
        <v>1</v>
      </c>
      <c r="D11" s="72" t="n">
        <v>1</v>
      </c>
      <c r="E11" s="72">
        <f>C11*D11</f>
        <v/>
      </c>
      <c r="F11" s="72" t="n">
        <v>4</v>
      </c>
      <c r="G11" s="72" t="n">
        <v>4</v>
      </c>
      <c r="H11" s="72">
        <f>F11*G11</f>
        <v/>
      </c>
      <c r="I11" s="112">
        <f>IFERROR(E11/H11,"")</f>
        <v/>
      </c>
      <c r="J11" s="64">
        <f>IF(I11="","",IF(I11&lt;0.2,"Veille",IF(I11&lt;2.5,"Contrôle","Danger")))</f>
        <v/>
      </c>
      <c r="K11" s="68">
        <f>IF(J11="Danger","Oui","Non")</f>
        <v/>
      </c>
    </row>
    <row r="12" ht="31.5" customHeight="1" s="56">
      <c r="A12" s="64" t="inlineStr">
        <is>
          <t>PR1</t>
        </is>
      </c>
      <c r="B12" s="66" t="inlineStr">
        <is>
          <t>Éditeurs et mainteneurs logiciels</t>
        </is>
      </c>
      <c r="C12" s="71" t="n">
        <v>3</v>
      </c>
      <c r="D12" s="71" t="n">
        <v>3</v>
      </c>
      <c r="E12" s="71">
        <f>C12*D12</f>
        <v/>
      </c>
      <c r="F12" s="71" t="n">
        <v>2</v>
      </c>
      <c r="G12" s="71" t="n">
        <v>2</v>
      </c>
      <c r="H12" s="71">
        <f>F12*G12</f>
        <v/>
      </c>
      <c r="I12" s="111">
        <f>IFERROR(E12/H12,"")</f>
        <v/>
      </c>
      <c r="J12" s="64">
        <f>IF(I12="","",IF(I12&lt;0.2,"Veille",IF(I12&lt;2.5,"Contrôle","Danger")))</f>
        <v/>
      </c>
      <c r="K12" s="64">
        <f>IF(J12="Danger","Oui","Non")</f>
        <v/>
      </c>
    </row>
    <row r="13" ht="31.5" customHeight="1" s="56">
      <c r="A13" s="68" t="inlineStr">
        <is>
          <t>PR2</t>
        </is>
      </c>
      <c r="B13" s="69" t="inlineStr">
        <is>
          <t>RENATER (opérateur réseau ESR)</t>
        </is>
      </c>
      <c r="C13" s="72" t="n">
        <v>4</v>
      </c>
      <c r="D13" s="72" t="n">
        <v>2</v>
      </c>
      <c r="E13" s="72">
        <f>C13*D13</f>
        <v/>
      </c>
      <c r="F13" s="72" t="n">
        <v>4</v>
      </c>
      <c r="G13" s="72" t="n">
        <v>4</v>
      </c>
      <c r="H13" s="72">
        <f>F13*G13</f>
        <v/>
      </c>
      <c r="I13" s="112">
        <f>IFERROR(E13/H13,"")</f>
        <v/>
      </c>
      <c r="J13" s="64">
        <f>IF(I13="","",IF(I13&lt;0.2,"Veille",IF(I13&lt;2.5,"Contrôle","Danger")))</f>
        <v/>
      </c>
      <c r="K13" s="68">
        <f>IF(J13="Danger","Oui","Non")</f>
        <v/>
      </c>
    </row>
    <row r="14" ht="31.5" customHeight="1" s="56">
      <c r="A14" s="64" t="inlineStr">
        <is>
          <t>PR3</t>
        </is>
      </c>
      <c r="B14" s="66" t="inlineStr">
        <is>
          <t>Fournisseurs de bibliothèque numérique</t>
        </is>
      </c>
      <c r="C14" s="71" t="n">
        <v>2</v>
      </c>
      <c r="D14" s="71" t="n">
        <v>1</v>
      </c>
      <c r="E14" s="71">
        <f>C14*D14</f>
        <v/>
      </c>
      <c r="F14" s="71" t="n">
        <v>3</v>
      </c>
      <c r="G14" s="71" t="n">
        <v>3</v>
      </c>
      <c r="H14" s="71">
        <f>F14*G14</f>
        <v/>
      </c>
      <c r="I14" s="111">
        <f>IFERROR(E14/H14,"")</f>
        <v/>
      </c>
      <c r="J14" s="64">
        <f>IF(I14="","",IF(I14&lt;0.2,"Veille",IF(I14&lt;2.5,"Contrôle","Danger")))</f>
        <v/>
      </c>
      <c r="K14" s="64">
        <f>IF(J14="Danger","Oui","Non")</f>
        <v/>
      </c>
    </row>
    <row r="16" ht="21.75" customHeight="1" s="56">
      <c r="A16" s="94" t="inlineStr">
        <is>
          <t>Synthèse — Parties prenantes critiques (PPC)</t>
        </is>
      </c>
    </row>
    <row r="17" ht="60" customHeight="1" s="56">
      <c r="A17" s="60" t="inlineStr">
        <is>
          <t>Les parties prenantes dont la colonne PPC indique « Oui » sont les Parties Prenantes Critiques (PPC) au sens ANSSI : elles seront intégrées prioritairement aux scénarios stratégiques de A3.3 et feront l'objet de mesures de sécurité spécifiques en A3.4. Les PP en zone Contrôle ne sont pas PPC mais doivent être surveillées.</t>
        </is>
      </c>
      <c r="B17" s="61" t="n"/>
      <c r="C17" s="61" t="n"/>
      <c r="D17" s="61" t="n"/>
      <c r="E17" s="61" t="n"/>
      <c r="F17" s="61" t="n"/>
      <c r="G17" s="61" t="n"/>
      <c r="H17" s="61" t="n"/>
      <c r="I17" s="61" t="n"/>
      <c r="J17" s="61" t="n"/>
      <c r="K17" s="61" t="n"/>
    </row>
    <row r="20" ht="18" customHeight="1" s="56"/>
    <row r="21" ht="18" customHeight="1" s="56"/>
    <row r="22" ht="18" customHeight="1" s="56"/>
    <row r="23" ht="18" customHeight="1" s="56"/>
    <row r="24" ht="18" customHeight="1" s="56"/>
    <row r="25" ht="18" customHeight="1" s="56"/>
    <row r="26" ht="18" customHeight="1" s="56"/>
    <row r="27" ht="18" customHeight="1" s="56"/>
    <row r="28" ht="18" customHeight="1" s="56"/>
    <row r="29" ht="18" customHeight="1" s="56"/>
    <row r="30" ht="18" customHeight="1" s="56"/>
    <row r="31" ht="18" customHeight="1" s="56"/>
    <row r="32" ht="18" customHeight="1" s="56"/>
    <row r="33" ht="18" customHeight="1" s="56"/>
    <row r="34" ht="18" customHeight="1" s="56"/>
    <row r="35" ht="18" customHeight="1" s="56"/>
    <row r="36" ht="18" customHeight="1" s="56"/>
    <row r="37" ht="18" customHeight="1" s="56"/>
    <row r="38" ht="18" customHeight="1" s="56"/>
    <row r="39" ht="18" customHeight="1" s="56"/>
    <row r="40" ht="18" customHeight="1" s="56"/>
    <row r="41" ht="18" customHeight="1" s="56"/>
    <row r="42" ht="18" customHeight="1" s="56"/>
    <row r="43" ht="18" customHeight="1" s="56"/>
    <row r="44" ht="18" customHeight="1" s="56"/>
    <row r="45" ht="18" customHeight="1" s="56"/>
    <row r="46" ht="18" customHeight="1" s="56"/>
    <row r="47" ht="18" customHeight="1" s="56"/>
    <row r="48" ht="18" customHeight="1" s="56"/>
    <row r="49" ht="18" customHeight="1" s="56"/>
    <row r="50" ht="18" customHeight="1" s="56"/>
    <row r="51" ht="18" customHeight="1" s="56"/>
    <row r="52" ht="18" customHeight="1" s="56"/>
    <row r="53" ht="18" customHeight="1" s="56"/>
    <row r="54" ht="18" customHeight="1" s="56"/>
    <row r="55" ht="18" customHeight="1" s="56"/>
    <row r="56" ht="18" customHeight="1" s="56"/>
    <row r="57" ht="18" customHeight="1" s="56"/>
    <row r="58" ht="18" customHeight="1" s="56"/>
    <row r="59" ht="18" customHeight="1" s="56"/>
    <row r="60" ht="18" customHeight="1" s="56"/>
    <row r="61" ht="18" customHeight="1" s="56"/>
    <row r="62" ht="18" customHeight="1" s="56"/>
    <row r="63" ht="18" customHeight="1" s="56"/>
    <row r="64" ht="18" customHeight="1" s="56"/>
    <row r="65" ht="18" customHeight="1" s="56"/>
    <row r="66" ht="18" customHeight="1" s="56"/>
  </sheetData>
  <mergeCells count="5">
    <mergeCell ref="A6:K6"/>
    <mergeCell ref="A4:K4"/>
    <mergeCell ref="A16:K16"/>
    <mergeCell ref="A17:K17"/>
    <mergeCell ref="A1:K2"/>
  </mergeCells>
  <conditionalFormatting sqref="J8:J14">
    <cfRule type="cellIs" rank="0" priority="2" equalAverage="0" operator="equal" aboveAverage="0" dxfId="0" text="" percent="0" bottom="0">
      <formula>"Veille"</formula>
    </cfRule>
    <cfRule type="cellIs" rank="0" priority="3" equalAverage="0" operator="equal" aboveAverage="0" dxfId="1" text="" percent="0" bottom="0">
      <formula>"Contrôle"</formula>
    </cfRule>
    <cfRule type="cellIs" rank="0" priority="4" equalAverage="0" operator="equal" aboveAverage="0" dxfId="3" text="" percent="0" bottom="0">
      <formula>"Danger"</formula>
    </cfRule>
  </conditionalFormatting>
  <dataValidations count="1">
    <dataValidation sqref="C8:D14 F8:G14" showDropDown="0" showInputMessage="0" showErrorMessage="0" allowBlank="0" error="Saisir une valeur entre 1 et 4 (cf. échelle A3.0)." type="whole" errorStyle="stop" operator="between">
      <formula1>1</formula1>
      <formula2>4</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14.xml><?xml version="1.0" encoding="utf-8"?>
<worksheet xmlns="http://schemas.openxmlformats.org/spreadsheetml/2006/main">
  <sheetPr filterMode="0">
    <outlinePr summaryBelow="1" summaryRight="1"/>
    <pageSetUpPr fitToPage="0"/>
  </sheetPr>
  <dimension ref="A1:F13"/>
  <sheetViews>
    <sheetView showFormulas="0" showGridLines="0" showRowColHeaders="1" showZeros="1" rightToLeft="0" tabSelected="0"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55" min="1" max="1"/>
    <col width="26" customWidth="1" style="55" min="2" max="2"/>
    <col width="38" customWidth="1" style="55" min="3" max="3"/>
    <col width="60" customWidth="1" style="55" min="4" max="4"/>
    <col width="12" customWidth="1" style="55" min="5" max="5"/>
    <col width="14" customWidth="1" style="55" min="6" max="6"/>
  </cols>
  <sheetData>
    <row r="1" ht="25.5" customHeight="1" s="56">
      <c r="A1" s="57" t="inlineStr">
        <is>
          <t>A3.3 - Scénarios stratégiques</t>
        </is>
      </c>
    </row>
    <row r="2" ht="25.5" customHeight="1" s="56"/>
    <row r="4" ht="87.75" customHeight="1" s="56">
      <c r="A4" s="60" t="inlineStr">
        <is>
          <t>Pour chaque couple SR/OV Retenu en A2.2, on construit un scénario stratégique de haut niveau qui décrit 1 à 3 chemins d'attaque (attaque directe ou rebond via une PPC). Format inspiré du guide ANSSI p.52. La gravité est héritée de l'événement redouté associé en A1.4 (slide 32 du cours). Les chemins par rebond ciblent en priorité les parties prenantes en zone de danger ou de contrôle élevée identifiées en A3.2. Les scénarios stratégiques retenus ici servent d'entrée à l'atelier 4 (scénarios opérationnels).</t>
        </is>
      </c>
      <c r="B4" s="61" t="n"/>
      <c r="C4" s="61" t="n"/>
      <c r="D4" s="61" t="n"/>
      <c r="E4" s="61" t="n"/>
      <c r="F4" s="61" t="n"/>
    </row>
    <row r="6" ht="21.75" customHeight="1" s="56">
      <c r="A6" s="94" t="inlineStr">
        <is>
          <t>Scénarios stratégiques retenus (un par couple SR/OV)</t>
        </is>
      </c>
    </row>
    <row r="7" ht="31.5" customHeight="1" s="56">
      <c r="A7" s="62" t="inlineStr">
        <is>
          <t>Code scénario</t>
        </is>
      </c>
      <c r="B7" s="62" t="inlineStr">
        <is>
          <t>Source de risque</t>
        </is>
      </c>
      <c r="C7" s="62" t="inlineStr">
        <is>
          <t>Objectif visé</t>
        </is>
      </c>
      <c r="D7" s="62" t="inlineStr">
        <is>
          <t>Chemins d'attaque stratégiques</t>
        </is>
      </c>
      <c r="E7" s="62" t="inlineStr">
        <is>
          <t>Gravité</t>
        </is>
      </c>
      <c r="F7" s="62" t="inlineStr">
        <is>
          <t>ER associé(s)</t>
        </is>
      </c>
    </row>
    <row r="8" ht="129.75" customHeight="1" s="56">
      <c r="A8" s="64" t="inlineStr">
        <is>
          <t>SS1</t>
        </is>
      </c>
      <c r="B8" s="66" t="inlineStr">
        <is>
          <t>SR-A Étudiant malveillant</t>
        </is>
      </c>
      <c r="C8" s="66" t="inlineStr">
        <is>
          <t>Compromettre les résultats académiques (modifier notes, voler sujets d'examen)</t>
        </is>
      </c>
      <c r="D8" s="66" t="inlineStr">
        <is>
          <t>Un étudiant compromet ses propres résultats académiques :
1. en exploitant directement, depuis le WiFi étudiant, les services pédagogiques internes (la plateforme Moodle et l'annuaire d'identité sont accessibles sans cloisonnement) ;
2. par usurpation d'identité d'un enseignant après vol de credentials (réutilisation, phishing ciblé) — chemin pivot vers ER07.</t>
        </is>
      </c>
      <c r="E8" s="84" t="inlineStr">
        <is>
          <t>G3</t>
        </is>
      </c>
      <c r="F8" s="64" t="inlineStr">
        <is>
          <t>ER03</t>
        </is>
      </c>
    </row>
    <row r="9" ht="129.75" customHeight="1" s="56">
      <c r="A9" s="68" t="inlineStr">
        <is>
          <t>SS2</t>
        </is>
      </c>
      <c r="B9" s="69" t="inlineStr">
        <is>
          <t>SR-B Cybercriminel organisé</t>
        </is>
      </c>
      <c r="C9" s="69" t="inlineStr">
        <is>
          <t>Extorquer une rançon par chiffrement de l'infrastructure</t>
        </is>
      </c>
      <c r="D9" s="69" t="inlineStr">
        <is>
          <t>Un cybercriminel paralyse l'établissement par rançongiciel :
1. par phishing ciblé du personnel (attaque directe la plus fréquente dans l'ESR français) ;
2. par rebond via un éditeur ou mainteneur logiciel compromis (PR1) — supply chain attack sur un correctif ou une mise à jour de Moodle, application RH ou autre composant ;
3. par exploitation d'une vulnérabilité connue non patchée sur un service exposé en façade Internet.</t>
        </is>
      </c>
      <c r="E9" s="81" t="inlineStr">
        <is>
          <t>G4</t>
        </is>
      </c>
      <c r="F9" s="68" t="inlineStr">
        <is>
          <t>ER06, ER04</t>
        </is>
      </c>
    </row>
    <row r="10" ht="129.75" customHeight="1" s="56">
      <c r="A10" s="64" t="inlineStr">
        <is>
          <t>SS3</t>
        </is>
      </c>
      <c r="B10" s="66" t="inlineStr">
        <is>
          <t>SR-B Cybercriminel organisé</t>
        </is>
      </c>
      <c r="C10" s="66" t="inlineStr">
        <is>
          <t>Revendre des données personnelles des étudiants et personnels</t>
        </is>
      </c>
      <c r="D10" s="66" t="inlineStr">
        <is>
          <t>Un cybercriminel exfiltre la base de données personnelles pour revente :
1. par exploitation directe d'une vulnérabilité applicative ou d'un bind LDAP anonyme depuis Internet ;
2. par rebond via un éditeur logiciel compromis (PR1) ayant accès en télémaintenance.</t>
        </is>
      </c>
      <c r="E10" s="81" t="inlineStr">
        <is>
          <t>G4</t>
        </is>
      </c>
      <c r="F10" s="64" t="inlineStr">
        <is>
          <t>ER01</t>
        </is>
      </c>
    </row>
    <row r="11" ht="129.75" customHeight="1" s="56">
      <c r="A11" s="68" t="inlineStr">
        <is>
          <t>SS4</t>
        </is>
      </c>
      <c r="B11" s="69" t="inlineStr">
        <is>
          <t>SR-C Acteur étatique / concurrent</t>
        </is>
      </c>
      <c r="C11" s="69" t="inlineStr">
        <is>
          <t>Exfiltrer le patrimoine scientifique stratégique</t>
        </is>
      </c>
      <c r="D11" s="69" t="inlineStr">
        <is>
          <t>Un acteur étatique vole les travaux de recherche :
1. par compromission directe du serveur de calcul et stockage de recherche depuis Internet ;
2. par rebond via un laboratoire de recherche partenaire (PA1) moins bien sécurisé qui détient des copies des données partagées (chemin similaire à l'exemple p.52 du guide ANSSI) ;
3. par rebond via un partenaire industriel (PA2) ayant accès à des livrables intermédiaires.</t>
        </is>
      </c>
      <c r="E11" s="84" t="inlineStr">
        <is>
          <t>G3</t>
        </is>
      </c>
      <c r="F11" s="68" t="inlineStr">
        <is>
          <t>ER02</t>
        </is>
      </c>
    </row>
    <row r="12" ht="129.75" customHeight="1" s="56">
      <c r="A12" s="64" t="inlineStr">
        <is>
          <t>SS5</t>
        </is>
      </c>
      <c r="B12" s="66" t="inlineStr">
        <is>
          <t>SR-E Personnel mécontent ou ex-personnel</t>
        </is>
      </c>
      <c r="C12" s="66" t="inlineStr">
        <is>
          <t>Détourner la paie ou frauder le système de gestion RH</t>
        </is>
      </c>
      <c r="D12" s="66" t="inlineStr">
        <is>
          <t>Un personnel mécontent fraude le système RH :
1. depuis le réseau interne, en utilisant un compte légitime non révoqué pour modifier les éléments de paie ou les RIB de versement ;
2. par exploitation d'une vulnérabilité applicative de l'application RH.</t>
        </is>
      </c>
      <c r="E12" s="84" t="inlineStr">
        <is>
          <t>G3</t>
        </is>
      </c>
      <c r="F12" s="64" t="inlineStr">
        <is>
          <t>ER05</t>
        </is>
      </c>
    </row>
    <row r="13" ht="129.75" customHeight="1" s="56">
      <c r="A13" s="68" t="inlineStr">
        <is>
          <t>SS6</t>
        </is>
      </c>
      <c r="B13" s="69" t="inlineStr">
        <is>
          <t>SR-E Personnel mécontent ou ex-personnel</t>
        </is>
      </c>
      <c r="C13" s="69" t="inlineStr">
        <is>
          <t>Détruire ou altérer des données par vengeance</t>
        </is>
      </c>
      <c r="D13" s="69" t="inlineStr">
        <is>
          <t>Un personnel mécontent détruit les données pour se venger :
1. en supprimant ou chiffrant les données sur les serveurs accessibles avec son compte (RH, recherche) ;
2. par rebond via un laboratoire partenaire (PA1) auquel il avait accès, pour atteindre des données partagées encore en cours.</t>
        </is>
      </c>
      <c r="E13" s="84" t="inlineStr">
        <is>
          <t>G3</t>
        </is>
      </c>
      <c r="F13" s="68" t="inlineStr">
        <is>
          <t>ER05, ER09</t>
        </is>
      </c>
    </row>
  </sheetData>
  <mergeCells count="3">
    <mergeCell ref="A6:F6"/>
    <mergeCell ref="A1:F2"/>
    <mergeCell ref="A4:F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F14"/>
  <sheetViews>
    <sheetView showFormulas="0" showGridLines="0" showRowColHeaders="1" showZeros="1" rightToLeft="0" tabSelected="0"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55" min="1" max="1"/>
    <col width="24" customWidth="1" style="55" min="2" max="2"/>
    <col width="40" customWidth="1" style="55" min="3" max="3"/>
    <col width="70" customWidth="1" style="55" min="4" max="4"/>
    <col width="14" customWidth="1" style="55" min="5" max="5"/>
    <col width="16" customWidth="1" style="55" min="6" max="6"/>
  </cols>
  <sheetData>
    <row r="1" ht="25.5" customHeight="1" s="56">
      <c r="A1" s="57" t="inlineStr">
        <is>
          <t>A3.4 - Mesures de sécurité sur l'écosystème</t>
        </is>
      </c>
    </row>
    <row r="2" ht="25.5" customHeight="1" s="56"/>
    <row r="4" ht="109.5" customHeight="1" s="56">
      <c r="A4" s="60" t="inlineStr">
        <is>
          <t>Mesures organisationnelles, contractuelles et techniques portant sur les parties prenantes critiques (PPC) identifiées en A3.2 et impliquées dans les scénarios stratégiques de A3.3. Format inspiré du guide ANSSI p.54. Pour chaque PPC, on précise les chemins d'attaque associés, les mesures à mettre en place, la dangerosité initiale et la dangerosité résiduelle estimée après mise en œuvre. Selon le guide ANSSI (p.53), la dangerosité résiduelle n'est utilisable que si la mesure est effectivement mise en œuvre avant la suite de l'analyse. Les mesures internes à UniCampus+ (durcissement maquette) seront traitées en atelier 5.</t>
        </is>
      </c>
      <c r="B4" s="61" t="n"/>
      <c r="C4" s="61" t="n"/>
      <c r="D4" s="61" t="n"/>
      <c r="E4" s="61" t="n"/>
      <c r="F4" s="61" t="n"/>
    </row>
    <row r="6" ht="21.75" customHeight="1" s="56">
      <c r="A6" s="94" t="inlineStr">
        <is>
          <t>Mesures de sécurité pour les parties prenantes critiques</t>
        </is>
      </c>
    </row>
    <row r="7" ht="36" customHeight="1" s="56">
      <c r="A7" s="62" t="inlineStr">
        <is>
          <t>Code PP</t>
        </is>
      </c>
      <c r="B7" s="62" t="inlineStr">
        <is>
          <t>Partie prenante</t>
        </is>
      </c>
      <c r="C7" s="62" t="inlineStr">
        <is>
          <t>Chemins d'attaque stratégiques</t>
        </is>
      </c>
      <c r="D7" s="62" t="inlineStr">
        <is>
          <t>Mesures de sécurité</t>
        </is>
      </c>
      <c r="E7" s="62" t="inlineStr">
        <is>
          <t>Dangerosité initiale</t>
        </is>
      </c>
      <c r="F7" s="62" t="inlineStr">
        <is>
          <t>Dangerosité résiduelle</t>
        </is>
      </c>
    </row>
    <row r="8" ht="159.75" customHeight="1" s="56">
      <c r="A8" s="64" t="inlineStr">
        <is>
          <t>PR1</t>
        </is>
      </c>
      <c r="B8" s="66" t="inlineStr">
        <is>
          <t>Éditeurs et mainteneurs logiciels</t>
        </is>
      </c>
      <c r="C8" s="66" t="inlineStr">
        <is>
          <t>Déploiement de rançongiciel par supply-chain (SS2 chemin 2) ; exfiltration de données via télémaintenance (SS3 chemin 2)</t>
        </is>
      </c>
      <c r="D8" s="66" t="inlineStr">
        <is>
          <t>Accroître la maturité cyber et la confiance des prestataires logiciels :
• inclure dans les contrats des clauses cyber (RGPD, notification d'incident &lt; 72 h, audit de sécurité périodique, droit d'audit) ;
• vérifier la signature des correctifs et mises à jour avant déploiement ;
• imposer un accès distant via un canal authentifié et journalisé (suppression de tout accès permanent non maîtrisé) ;
• exiger une attestation de conformité (ISO 27001 ou équivalent) pour les éditeurs de logiciels métier sensibles (RH notamment).
Effet attendu : Maturité 2 → 3, Confiance 2 → 3 ; pénétration inchangée.</t>
        </is>
      </c>
      <c r="E8" s="113" t="n">
        <v>2.25</v>
      </c>
      <c r="F8" s="113" t="n">
        <v>1</v>
      </c>
    </row>
    <row r="9" ht="159.75" customHeight="1" s="56">
      <c r="A9" s="68" t="inlineStr">
        <is>
          <t>PA1</t>
        </is>
      </c>
      <c r="B9" s="69" t="inlineStr">
        <is>
          <t>Laboratoires de recherche partenaires</t>
        </is>
      </c>
      <c r="C9" s="69" t="inlineStr">
        <is>
          <t>Exfiltration du patrimoine scientifique par rebond (SS4 chemin 2) ; destruction collatérale par personnel mécontent (SS6 chemin 2)</t>
        </is>
      </c>
      <c r="D9" s="69" t="inlineStr">
        <is>
          <t>Diminuer la pénétration des laboratoires partenaires et accroître leur maturité cyber :
• limiter strictement le partage de données au juste besoin (principe du moindre privilège) — actuellement, les données partagées via NFS/Samba sont accessibles trop largement ;
• cloisonner les espaces de partage par projet / convention ;
• inclure dans les conventions de collaboration des clauses sur la sécurité des données (chiffrement, traçabilité, notification d'incident) ;
• organiser des audits croisés ponctuels sur les partages de données les plus sensibles.
Effet attendu : Pénétration 3 → 2.</t>
        </is>
      </c>
      <c r="E9" s="113" t="n">
        <v>1.5</v>
      </c>
      <c r="F9" s="113" t="n">
        <v>1</v>
      </c>
    </row>
    <row r="10" ht="159.75" customHeight="1" s="56">
      <c r="A10" s="64" t="inlineStr">
        <is>
          <t>PA2</t>
        </is>
      </c>
      <c r="B10" s="66" t="inlineStr">
        <is>
          <t>Partenaires industriels et financeurs</t>
        </is>
      </c>
      <c r="C10" s="66" t="inlineStr">
        <is>
          <t>Exfiltration du patrimoine scientifique par rebond (SS4 chemin 3)</t>
        </is>
      </c>
      <c r="D10" s="66" t="inlineStr">
        <is>
          <t>Encadrer contractuellement la diffusion des livrables intermédiaires :
• transmission de livrables uniquement sous forme contractuellement définie (versionnage, filigrane numérique, restrictions d'usage) ;
• clause de confidentialité renforcée ;
• transmission via canaux chiffrés exclusivement (suppression du mail en clair pour les livrables).
Effet attendu : Confiance 3 → 4 (intentions parfaitement connues et compatibles).</t>
        </is>
      </c>
      <c r="E10" s="113" t="n">
        <v>0.44</v>
      </c>
      <c r="F10" s="113" t="n">
        <v>0.33</v>
      </c>
    </row>
    <row r="11" ht="159.75" customHeight="1" s="56">
      <c r="A11" s="68" t="inlineStr">
        <is>
          <t>PR3</t>
        </is>
      </c>
      <c r="B11" s="69" t="inlineStr">
        <is>
          <t>Fournisseurs de bibliothèque numérique</t>
        </is>
      </c>
      <c r="C11" s="69" t="inlineStr">
        <is>
          <t>Hors scénarios principaux ; vigilance générale (VM1.5 non instrumentée)</t>
        </is>
      </c>
      <c r="D11" s="69" t="inlineStr">
        <is>
          <t>Mesures préventives génériques :
• contrôler la liste des fournisseurs et leur fédération d'identité ;
• vérifier la non-transmission de données personnelles aux fournisseurs au-delà du strict nécessaire (consultation anonymisée si possible) ;
• revoir périodiquement les contrats et leurs clauses RGPD.</t>
        </is>
      </c>
      <c r="E11" s="113" t="n">
        <v>0.22</v>
      </c>
      <c r="F11" s="113" t="n">
        <v>0.22</v>
      </c>
    </row>
    <row r="13" ht="21.75" customHeight="1" s="56">
      <c r="A13" s="94" t="inlineStr">
        <is>
          <t>Synthèse de l'effet des mesures sur l'écosystème</t>
        </is>
      </c>
    </row>
    <row r="14" ht="69.75" customHeight="1" s="56">
      <c r="A14" s="60" t="inlineStr">
        <is>
          <t>Les mesures listées ci-dessus visent à ramener la dangerosité de l'ensemble des parties prenantes sous le seuil de 1,0 (milieu de la zone de contrôle), conformément à une politique de gestion conservatrice des relations avec l'écosystème. Aucune partie prenante n'est en zone de danger (≥ 2,5) dans la situation initiale, ce qui s'explique par le caractère auto-hébergé d'UniCampus+ et l'absence d'infogérance critique. Le risque résiduel principal reste interne (couvert à l'atelier 5) et non écosystémique.</t>
        </is>
      </c>
      <c r="B14" s="61" t="n"/>
      <c r="C14" s="61" t="n"/>
      <c r="D14" s="61" t="n"/>
      <c r="E14" s="61" t="n"/>
      <c r="F14" s="61" t="n"/>
    </row>
  </sheetData>
  <mergeCells count="5">
    <mergeCell ref="A13:F13"/>
    <mergeCell ref="A14:F14"/>
    <mergeCell ref="A1:F2"/>
    <mergeCell ref="A6:F6"/>
    <mergeCell ref="A4:F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B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70703125" defaultRowHeight="14.25" zeroHeight="0" outlineLevelRow="0"/>
  <cols>
    <col width="4" customWidth="1" style="55" min="1" max="1"/>
    <col width="100" customWidth="1" style="55" min="2" max="2"/>
  </cols>
  <sheetData>
    <row r="1" ht="25.5" customHeight="1" s="56">
      <c r="A1" s="57" t="inlineStr">
        <is>
          <t>A4 — Scénarios opérationnels</t>
        </is>
      </c>
    </row>
    <row r="2" ht="25.5" customHeight="1" s="56"/>
    <row r="4" ht="90" customHeight="1" s="56">
      <c r="A4" s="60" t="inlineStr">
        <is>
          <t>Cette feuille recevra les scénarios techniques structurés selon la séquence Connaître → Rentrer → Trouver → Exploiter, avec leur vraisemblance V1 à V4.</t>
        </is>
      </c>
      <c r="B4" s="61" t="n"/>
    </row>
  </sheetData>
  <mergeCells count="2">
    <mergeCell ref="A1:B2"/>
    <mergeCell ref="A4:B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B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70703125" defaultRowHeight="14.25" zeroHeight="0" outlineLevelRow="0"/>
  <cols>
    <col width="4" customWidth="1" style="55" min="1" max="1"/>
    <col width="100" customWidth="1" style="55" min="2" max="2"/>
  </cols>
  <sheetData>
    <row r="1" ht="25.5" customHeight="1" s="56">
      <c r="A1" s="57" t="inlineStr">
        <is>
          <t>A5 — Traitement du risque</t>
        </is>
      </c>
    </row>
    <row r="2" ht="25.5" customHeight="1" s="56"/>
    <row r="4" ht="90" customHeight="1" s="56">
      <c r="A4" s="60" t="inlineStr">
        <is>
          <t>Cette feuille recevra la matrice de risque, les mesures de traitement (techniques et organisationnelles), et la matrice de risque résiduel.</t>
        </is>
      </c>
      <c r="B4" s="61" t="n"/>
    </row>
  </sheetData>
  <mergeCells count="2">
    <mergeCell ref="A1:B2"/>
    <mergeCell ref="A4:B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2026-05-16T14:58:13Z</dcterms:created>
  <dcterms:modified xmlns:dcterms="http://purl.org/dc/terms/" xmlns:xsi="http://www.w3.org/2001/XMLSchema-instance" xsi:type="dcterms:W3CDTF">2026-05-17T20:23:58Z</dcterms:modified>
  <cp:lastModifiedBy>virgile thonnier</cp:lastModifiedBy>
  <cp:revision>0</cp:revision>
</cp:coreProperties>
</file>