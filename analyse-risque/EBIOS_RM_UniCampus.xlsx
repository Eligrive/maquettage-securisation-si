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rgi\Documents\Cours\2A\Cyber\Analyse de risques et projet de remédiation\Projet\analyse-risque\"/>
    </mc:Choice>
  </mc:AlternateContent>
  <xr:revisionPtr revIDLastSave="0" documentId="13_ncr:1_{7FBF370D-3F5D-4722-858C-3AE6308A6180}" xr6:coauthVersionLast="47" xr6:coauthVersionMax="47" xr10:uidLastSave="{00000000-0000-0000-0000-000000000000}"/>
  <bookViews>
    <workbookView xWindow="-93" yWindow="-93" windowWidth="25786" windowHeight="13866" tabRatio="500" firstSheet="16" activeTab="16" xr2:uid="{00000000-000D-0000-FFFF-FFFF00000000}"/>
  </bookViews>
  <sheets>
    <sheet name="Introduction" sheetId="1" r:id="rId1"/>
    <sheet name="A1.0 Périmètre" sheetId="2" r:id="rId2"/>
    <sheet name="A1.1 Missions &amp; VM" sheetId="3" r:id="rId3"/>
    <sheet name="A1.2 Biens supports" sheetId="4" r:id="rId4"/>
    <sheet name="A1.3 Échelle de gravité" sheetId="5" r:id="rId5"/>
    <sheet name="A1.4 Événements redoutés" sheetId="6" r:id="rId6"/>
    <sheet name="A2.0 Échelle de pertinence" sheetId="7" r:id="rId7"/>
    <sheet name="A2.1 Sources de risque" sheetId="8" r:id="rId8"/>
    <sheet name="A2.2 Couples SR-OV" sheetId="9" r:id="rId9"/>
    <sheet name="A2.3 Liens couples - ER" sheetId="10" r:id="rId10"/>
    <sheet name="A3.0 Critères de dangerosité" sheetId="11" r:id="rId11"/>
    <sheet name="A3.1 Parties prenantes" sheetId="12" r:id="rId12"/>
    <sheet name="A3.2 Cartographie dangerosité" sheetId="13" r:id="rId13"/>
    <sheet name="A3.3 Scénarios stratégiques" sheetId="14" r:id="rId14"/>
    <sheet name="A3.4 Mesures écosystème" sheetId="15" r:id="rId15"/>
    <sheet name="A4.0 Échelle vraisemblance" sheetId="16" r:id="rId16"/>
    <sheet name="A4.1 Graphes d'attaque" sheetId="17" r:id="rId17"/>
    <sheet name="A4.2 Synthèse vraisemblance" sheetId="18" r:id="rId18"/>
    <sheet name="A5.0 Matrice et acceptation" sheetId="19" r:id="rId19"/>
    <sheet name="A5.1 Cartographies du risque" sheetId="20" r:id="rId20"/>
    <sheet name="A5.2 Stratégie de traitement" sheetId="21" r:id="rId21"/>
    <sheet name="A5.3 Plan de traitement" sheetId="22" r:id="rId22"/>
    <sheet name="A5.4 Risques résiduels" sheetId="23" r:id="rId23"/>
    <sheet name="A5.5 Cadre de suivi" sheetId="24" r:id="rId24"/>
  </sheets>
  <calcPr calcId="191029" iterateDelta="1E-4"/>
</workbook>
</file>

<file path=xl/calcChain.xml><?xml version="1.0" encoding="utf-8"?>
<calcChain xmlns="http://schemas.openxmlformats.org/spreadsheetml/2006/main">
  <c r="H14" i="13" l="1"/>
  <c r="E14" i="13"/>
  <c r="I14" i="13" s="1"/>
  <c r="J14" i="13" s="1"/>
  <c r="K14" i="13" s="1"/>
  <c r="J13" i="13"/>
  <c r="K13" i="13" s="1"/>
  <c r="I13" i="13"/>
  <c r="H13" i="13"/>
  <c r="E13" i="13"/>
  <c r="H12" i="13"/>
  <c r="E12" i="13"/>
  <c r="I12" i="13" s="1"/>
  <c r="J12" i="13" s="1"/>
  <c r="K12" i="13" s="1"/>
  <c r="H11" i="13"/>
  <c r="E11" i="13"/>
  <c r="I11" i="13" s="1"/>
  <c r="J11" i="13" s="1"/>
  <c r="K11" i="13" s="1"/>
  <c r="I10" i="13"/>
  <c r="J10" i="13" s="1"/>
  <c r="K10" i="13" s="1"/>
  <c r="H10" i="13"/>
  <c r="E10" i="13"/>
  <c r="H9" i="13"/>
  <c r="E9" i="13"/>
  <c r="I9" i="13" s="1"/>
  <c r="J9" i="13" s="1"/>
  <c r="K9" i="13" s="1"/>
  <c r="K8" i="13"/>
  <c r="J8" i="13"/>
  <c r="I8" i="13"/>
  <c r="H8" i="13"/>
  <c r="E8" i="13"/>
  <c r="F16" i="9"/>
  <c r="F15" i="9"/>
  <c r="F14" i="9"/>
  <c r="F13" i="9"/>
  <c r="F12" i="9"/>
  <c r="F11" i="9"/>
  <c r="F10" i="9"/>
  <c r="F9" i="9"/>
  <c r="F8" i="9"/>
</calcChain>
</file>

<file path=xl/sharedStrings.xml><?xml version="1.0" encoding="utf-8"?>
<sst xmlns="http://schemas.openxmlformats.org/spreadsheetml/2006/main" count="1656" uniqueCount="978">
  <si>
    <t>A4.1 - Scénarios opérationnels et graphes d'attaque</t>
  </si>
  <si>
    <t>Pour chacun des 6 scénarios stratégiques retenus en A3.3, un scénario opérationnel (SO) détaille les procédures techniques susceptibles d'être mises en œuvre par la source de risque. Chaque scénario est structuré selon la séquence d'attaque type CONNAÎTRE → RENTRER → TROUVER → EXPLOITER (slide 44 du cours, p.62-63 du guide ANSSI). Le chemin retenu pour l'analyse est mis en évidence par des flèches rouges ; les chemins alternatifs possibles sont représentés en gris. La méthode de cotation de la vraisemblance utilisée est l'estimation globale directe (méthode expresse ANSSI, p.65). Les biens supports critiques (BSC) et les vulnérabilités spécifiques exploitées sont listés sous chaque graphe.</t>
  </si>
  <si>
    <t>SO1 - Étudiant malveillant compromet les résultats académiques (parent SS1, gravité G3, vraisemblance V3)</t>
  </si>
  <si>
    <t>Biens supports critiques (BSC)</t>
  </si>
  <si>
    <t>Vulnérabilités spécifiques exploitées</t>
  </si>
  <si>
    <t>• BS01 Moodle
• BS02 BDD Moodle
• BS04 LDAP
• BS13 Réseau campus</t>
  </si>
  <si>
    <t>• Bind LDAP anonyme sur uc-srv-ldap (slapd sans TLS)
• WiFi étudiant et serveurs sur le même VLAN 192.168.107.0/24 (pas de cloisonnement)
• Pas de MFA ni de rate-limit sur Moodle
• Aucun log centralisé : modification non détectable a posteriori</t>
  </si>
  <si>
    <t>SO2 - Cybercriminel déploie un rançongiciel (parent SS2, gravité G4, vraisemblance V4)</t>
  </si>
  <si>
    <t>• BS01 Moodle
• BS05 Web RH
• BS07 BDD RH
• BS08 Mail
• BS10 NFS recherche
• BS13 Réseau campus</t>
  </si>
  <si>
    <t>• Clé SSH d'admin DSI stockée en clair sur uc-poste-dsi (/home/ubuntu/.ssh/)
• Sudo NOPASSWD pour ubuntu sur toutes les VMs
• VPN PPTP legacy avec MPPE-128 (RC4 déprécié) et compte partagé (campus/unicampus2024)
• Aucun cloisonnement réseau : un seul VLAN pour serveurs et postes
• Pas de sauvegarde immuable (ni offline) -&gt; rançon = seule option de récupération</t>
  </si>
  <si>
    <t>SO3 - Cybercriminel exfiltre les données personnelles (parent SS3, gravité G4, vraisemblance V3)</t>
  </si>
  <si>
    <t>• BS05 Web RH
• BS07 BDD RH
• BS04 LDAP
• BS01 Moodle</t>
  </si>
  <si>
    <t>• Injection SQL non corrigée dans le portail uc-web-rh
• uc-db-rh MariaDB exposée 0.0.0.0:3306, hashs en SHA1 sans sel
• HTTP en clair sur uc-web-rh (capture credentials triviale)
• Bind LDAP anonyme expose la liste complète des comptes
• Pas de détection d'exfiltration (logs locaux non centralisés)</t>
  </si>
  <si>
    <t>SO4 - Acteur étatique exfiltre le patrimoine scientifique (parent SS4, gravité G3, vraisemblance V2)</t>
  </si>
  <si>
    <t>• BS09 calc-recherche
• BS10 NFS recherche
• BS11 PostgreSQL recherche
• BS12 Postes recherche</t>
  </si>
  <si>
    <t>• NFS et Samba exposés sans authentification sur uc-calc-recherche
• Jupyter sans token ni mot de passe sur 0.0.0.0:8888
• Pas de cloisonnement entre VLAN UniCampus et infrastructure des partenaires
• Données scientifiques sensibles stockées en clair, sans classification
• Aucune supervision capable de détecter une exfiltration low-and-slow</t>
  </si>
  <si>
    <t>SO5 - Personnel mécontent détourne la paie (parent SS5, gravité G3, vraisemblance V2)</t>
  </si>
  <si>
    <t>• BS05 Web RH
• BS07 BDD RH</t>
  </si>
  <si>
    <t>• Pas de séparation des privilèges côté application RH (un seul rôle)
• Comptes non révoqués au départ (pas de processus IAM)
• Aucune validation à 4 yeux pour la modification de RIB / salaire
• Pas de journal d'audit applicatif des modifications RH</t>
  </si>
  <si>
    <t>SO6 - Personnel mécontent détruit par vengeance (parent SS6, gravité G3, vraisemblance V2)</t>
  </si>
  <si>
    <t>• BS05 Web RH
• BS07 BDD RH
• BS09 calc-recherche
• BS10 NFS recherche</t>
  </si>
  <si>
    <t>• Sudo NOPASSWD pour ubuntu sur toutes les VMs (élévation triviale)
• Compte VPN partagé jamais changé (présent dans email DSI exfiltrable)
• Aucune sauvegarde immuable hors-ligne : suppression = perte définitive
• Pas de contrôle d'accès granulaire sur les partages NFS recherche</t>
  </si>
  <si>
    <t>Analyse de risque EBIOS RM : Classeur de travail</t>
  </si>
  <si>
    <t>Projet 07 : UniCampus+   |   Cours 4CS08 - Analyse de risques  |   Méthode EBIOS Risk Manager</t>
  </si>
  <si>
    <t>1. Composition du groupe</t>
  </si>
  <si>
    <t>Virgile Thonnier
Timoté Lacambra
Jeremy Giudicelli
Ghislain Maugenest</t>
  </si>
  <si>
    <t>2. Méthode utilisée pour la réalisation de l'analyse de risque : les 5 ateliers EBIOS RM</t>
  </si>
  <si>
    <t>Atelier</t>
  </si>
  <si>
    <t>Intitulé</t>
  </si>
  <si>
    <t>Objet</t>
  </si>
  <si>
    <t>Sortie(s)  principale(s)</t>
  </si>
  <si>
    <t>A1</t>
  </si>
  <si>
    <t xml:space="preserve"> Portée et référentiel de sécurité</t>
  </si>
  <si>
    <t>Définir le périmètre, les missions, les valeurs métier, les biens supports, les événements redoutés (ER) et leur gravité</t>
  </si>
  <si>
    <t>Portée opérationnelle et techniques
ER et niveaux de gravité</t>
  </si>
  <si>
    <t>A2</t>
  </si>
  <si>
    <t>Origines des risques</t>
  </si>
  <si>
    <t>Identifier les couples Source de risque / Objectif visé (SR/OV) et leur pertinence.</t>
  </si>
  <si>
    <t>Couples SR/OV retenus
Couples SR/OV surveillés
Liens SR/OV - ER</t>
  </si>
  <si>
    <t>A3</t>
  </si>
  <si>
    <t>Scénarios stratégiques</t>
  </si>
  <si>
    <t>Identification des parties prenantes clés de l'écosystème et élaboration de
scénarios de risque de haut niveau</t>
  </si>
  <si>
    <t>Cartographie des menaces
pesant sur l'écosystème
Scénarios stratégiques
Mesures de sécurité mises
en place pour l'écosystème</t>
  </si>
  <si>
    <t>A4</t>
  </si>
  <si>
    <t>Scénarios opérationnels</t>
  </si>
  <si>
    <t>Élaborer des scénarios opérationnels décrivant les procédures techniques qui seront mises en œuvre par les sources de risque</t>
  </si>
  <si>
    <t>Scénarios opérationnels
Évaluation de la probabilité
des scénarios opérationnels</t>
  </si>
  <si>
    <t>A5</t>
  </si>
  <si>
    <t>Traitement du risque</t>
  </si>
  <si>
    <t>Placer les risques sur la matrice gravité × vraisemblance, décider du traitement, planifier les mesures.</t>
  </si>
  <si>
    <t>Plan de traitement 
Risque résiduel</t>
  </si>
  <si>
    <t>3. Plan du classeur</t>
  </si>
  <si>
    <t>Onglet</t>
  </si>
  <si>
    <t>Contenu</t>
  </si>
  <si>
    <t>État</t>
  </si>
  <si>
    <t>Introduction</t>
  </si>
  <si>
    <t>A0</t>
  </si>
  <si>
    <t>Méthodologie, conventions, plan du classeur</t>
  </si>
  <si>
    <t>Rempli</t>
  </si>
  <si>
    <t>A1.0 Périmètre</t>
  </si>
  <si>
    <t>Cadre de l'étude, périmètres métier et technique, participants</t>
  </si>
  <si>
    <t>A1.1 Missions &amp; VM</t>
  </si>
  <si>
    <t>Missions, valeurs métier (nature, description)</t>
  </si>
  <si>
    <t>A1.2 Biens supports</t>
  </si>
  <si>
    <t>Biens supports par VM (valeurs métier), descriptions, responsables</t>
  </si>
  <si>
    <t>A1.3 Échelle de gravité</t>
  </si>
  <si>
    <t>Échelle et critères de classification de gravité calibrée pour Unicampus (G1 à G4)</t>
  </si>
  <si>
    <t>A1.4 Événements redoutés</t>
  </si>
  <si>
    <t>ER rattachés aux VM, cotation sur l'échelle</t>
  </si>
  <si>
    <t>A2.0 Échelle de pertinence</t>
  </si>
  <si>
    <t xml:space="preserve">Matrice de pertinence des couples SR/OV </t>
  </si>
  <si>
    <t>A2.1 Sources de risque</t>
  </si>
  <si>
    <t>Typologie des 5 sources de risque retenues avec profils</t>
  </si>
  <si>
    <t>A2.2 Couples SR-OV</t>
  </si>
  <si>
    <t>Couples évalués (motivation, ressources, pertinence calculée, décision)</t>
  </si>
  <si>
    <t>A2.3 Liens couples - ER</t>
  </si>
  <si>
    <t>Synthèse rapprochant les ER de A1.4 et les couples SR/OV</t>
  </si>
  <si>
    <t>A3.0 Critères de dangerosité</t>
  </si>
  <si>
    <t>Echelle pour l'analyse du risque induit par les parties prenantes (PP) avec les critères de pénétration, dépendance, maturité  et confiance</t>
  </si>
  <si>
    <t>A3.1 Parties prenantes</t>
  </si>
  <si>
    <t>Typologie des 7 PP externes (4 partenaires + 3 prestataires)</t>
  </si>
  <si>
    <t>A3.2 Cartographie dangerosité</t>
  </si>
  <si>
    <t>Évaluation 4 critères, dangerosité calculée, identification des PPC, radar visuel</t>
  </si>
  <si>
    <t>A3.3 Scénarios stratégiques</t>
  </si>
  <si>
    <t>6 scénarios (un par couple Retenu de A2.2) avec chemins d'attaque numérotés</t>
  </si>
  <si>
    <t>A3.4 Mesures écosystème</t>
  </si>
  <si>
    <t>Mesures par PPC avec dangerosité initiale et résiduelle</t>
  </si>
  <si>
    <t>A4.0 Échelle vraisemblance</t>
  </si>
  <si>
    <t>Échelle V1 à V4 de la vraissemblance</t>
  </si>
  <si>
    <t>A4.1 Graphes d'attaque</t>
  </si>
  <si>
    <t>6 scénarios opérationnels avec graphes d'attaque détaillés (4-6 actions par phase, chemin retenu en rouge)</t>
  </si>
  <si>
    <t>A4.2 Synthèse vraisemblance</t>
  </si>
  <si>
    <t>Tableau récapitulatif (G, V) prêt pour A5</t>
  </si>
  <si>
    <t>A5.0 Matrice et acceptation</t>
  </si>
  <si>
    <t>Matrice 4×4 G × V + 3 classes d'acceptabilité ANSSI</t>
  </si>
  <si>
    <t>A5.1 Cartographies du risque</t>
  </si>
  <si>
    <t>Cartographies initiale et résiduelle des 6 risques</t>
  </si>
  <si>
    <t>A5.2 Stratégie de traitement</t>
  </si>
  <si>
    <t xml:space="preserve">Décision de traitement par risque </t>
  </si>
  <si>
    <t>A5.3 Plan de traitement</t>
  </si>
  <si>
    <t>26 mesures réparties en Gouvernance / Protection / Défense / Résilience</t>
  </si>
  <si>
    <t>A5.4 Risques résiduels</t>
  </si>
  <si>
    <t>Fiches détaillées RR01-RR06 (format ANSSI p.78)</t>
  </si>
  <si>
    <t>A5.5 Cadre de suivi</t>
  </si>
  <si>
    <t>Indicateurs, comités, déclencheurs de mise à jour</t>
  </si>
  <si>
    <t>A1.0 - Cadre et périmètre de l'étude</t>
  </si>
  <si>
    <t>Sortie attendue de la partie cadrage de l'atelier 1 : description du périmètre métier et technique, et liste des participants (réels ou cibles) de l'analyse de risque.</t>
  </si>
  <si>
    <t>Éléments de cadrage</t>
  </si>
  <si>
    <t>Élément</t>
  </si>
  <si>
    <t>Description</t>
  </si>
  <si>
    <t>Objet d'étude</t>
  </si>
  <si>
    <t>Système d'information de l'université UniCampus+ tel que présenté dans le fichier Projet_07_UniCampus.md et modélisé par  la maquette déployé sur OpenStack : Établissement public d'enseignement supérieur accueillant 12 000 étudiants et 500 personnels (enseignants, administratifs, chercheurs, techniciens), réparti sur plusieurs bâtiments.</t>
  </si>
  <si>
    <t>Périmètre métier</t>
  </si>
  <si>
    <t>Les trois missions principales de l'organisme que nous couvrons dans cette analyse de risques sont :
  • M1 - Enseignement : formation initiale des 12 000 étudiants ;
  • M2 - Recherche : production scientifique des laboratoires ;
  • M3 - Administration : RH, scolarité administrative, finances.</t>
  </si>
  <si>
    <t>Périmètre technique</t>
  </si>
  <si>
    <t>Périmètre technique modélisé dans la maquette v1 (état de la maquette au moment de la réalisation de l'analyse; nous serons éventuellement ammené à reduire le nombre de machines virtuelles et donc à condenser les biens support sur certaines machines) : 
11 machines virtuelles sur un seul subnet (192.168.107.0/24) 
1 firewall périmétrique (`uc-fw-legacy`)
1 VPN d'accès distant (`uc-vpn-legacy`)
5 serveurs applicatifs (Moodle, mail, LDAP, RH, recherche)
1 base de données back-end RH (`uc-db-rh`)
3 postes clients (étudiant, enseignant, DSI)</t>
  </si>
  <si>
    <t>Participants à l'analyse (cibles en organisation réelle)</t>
  </si>
  <si>
    <t xml:space="preserve">  • Équipes métier : direction des études, direction de la recherche, DRH ;
  • RSSI de l'établissement ;
  • DSI : architecte réseau, administrateur systèmes, responsable IAM ;
  • Équipe de gestion documentaire (DPO).
Dans le cadre du projet 4CS08, l'analyse est portée par le groupe projet jouant l'ensemble de ces rôles.</t>
  </si>
  <si>
    <t>Cadre normatif et référentiels mobilisés</t>
  </si>
  <si>
    <t xml:space="preserve">  • Méthode EBIOS Risk Manager 2018 (ANSSI) ;
  • Guide d'hygiène informatique ANSSI (11 règles citées dans la fiche projet : R4, R7, R8, R9, R10, R13, R22, R25, R31, R35, R40) ;
  • Référentiel RGPD pour les données personnelles (étudiants et personnels) ;
  • ISO/IEC 27005 pour le processus général de gestion des risques.
(indiqué à titre indicatif dans le cadre d'une éventuelle réutilsation de ce fichier pour d'autres analyses de risques)</t>
  </si>
  <si>
    <t>A1.1 - Missions et valeurs métier</t>
  </si>
  <si>
    <t>Sortie attendue de la partie cadrage de l'atelier 1 : Pour chaque mission de l'objet d'étude, lister les valeurs métier (VM) qui la portent. Nature : Processus (activité) ou Information (donnée). Une VM peut être de nature mixte. Convention de codification : Mx pour les missions, VMx.y pour les valeurs métier (x = numéro de mission).</t>
  </si>
  <si>
    <t>Tableau des missions et valeurs métier</t>
  </si>
  <si>
    <t>Code mission</t>
  </si>
  <si>
    <t>Mission</t>
  </si>
  <si>
    <t>Valeur métier</t>
  </si>
  <si>
    <t>Nature</t>
  </si>
  <si>
    <t>M1</t>
  </si>
  <si>
    <t xml:space="preserve">Enseignement  
Assurer la formation des 12000 étudiants </t>
  </si>
  <si>
    <t>VM1.1 : Diffusion des contenus pédagogiques</t>
  </si>
  <si>
    <t>Processus</t>
  </si>
  <si>
    <t>Activité de mise à disposition des cours, supports, devoirs, exercices, corrigés et ressources documentaires aux étudiants, organisée par UE et par promotion, avec dépôt des productions étudiantes (devoirs, examens écrits).</t>
  </si>
  <si>
    <t>VM1.2 : Évaluation et notation</t>
  </si>
  <si>
    <t>Activité de notation des productions étudiantes, calcul des moyennes, gestion des sessions d'examens et des jurys.</t>
  </si>
  <si>
    <t>VM1.3 : Résultats académiques</t>
  </si>
  <si>
    <t>Information</t>
  </si>
  <si>
    <t>Notes individuelles, moyennes, validations d'UE, attestations, diplômes : informations à très forte exigence d'intégrité et d'authenticité.</t>
  </si>
  <si>
    <t>VM1.4 : Communication pédagogique</t>
  </si>
  <si>
    <t>Échanges quotidiens entre enseignants, étudiants et services de scolarité via messagerie et listes de diffusion (annonces, convocations, conventions).</t>
  </si>
  <si>
    <t>VM1.5 : Accès aux ressources documentaires</t>
  </si>
  <si>
    <t>Accès des étudiants, enseignants et chercheurs à la bibliothèque numérique : bases bibliographiques, revues scientifiques, ouvrages en ligne, archives ouvertes.
Non mis en place dans la maquette v1 et déclarée pour complétude du périmètre métier et car il est mentionné dans la fiche de description du projet. On peut considèrer que ce processus est géré par un prestataire donc analysé dans le cadre de l'analyse des parties prenantes</t>
  </si>
  <si>
    <t>M2</t>
  </si>
  <si>
    <t>Recherche 
Produire, partager et diffuser de la connaissance scientifique au sein des laboratoires, en collaboration avec des partenaires académiques et industriels.</t>
  </si>
  <si>
    <t>VM2.1 : Conduite des activités de recherche</t>
  </si>
  <si>
    <t>Activité scientifique réalisée par les enseignants-chercheurs et chercheurs : conception d'expériences, calcul scientifique (notebooks, simulations), traitement et analyse de données.</t>
  </si>
  <si>
    <t>VM2.2 : Patrimoine scientifique</t>
  </si>
  <si>
    <t>Données expérimentales brutes et traitées, codes et notebooks, articles en cours de rédaction, résultats préliminaires non publiés, antériorités brevetables. Confidentialité critique.</t>
  </si>
  <si>
    <t>VM2.3 : Collaboration et diffusion scientifique</t>
  </si>
  <si>
    <t>Échanges avec partenaires académiques (laboratoires associés) et industriels (financements, contrats de recherche), publications, dépôts de brevets, communications scientifiques.</t>
  </si>
  <si>
    <t>M3</t>
  </si>
  <si>
    <t>Administration 
Gérer les ressources humaines (paie, contrats), la scolarité administrative et les fonctions financières de l'établissement.</t>
  </si>
  <si>
    <t>VM3.1 : Gestion des ressources humaines</t>
  </si>
  <si>
    <t>Activité administrative comprenant : production de la paie mensuelle, gestion des contrats de travail, suivi des carrières, gestion des absences et congés, tenue des dossiers individuels du personnel.</t>
  </si>
  <si>
    <t>VM3.2 : Données personnelles et contractuelles</t>
  </si>
  <si>
    <t>Données personnelles (identité, NIR, RIB, adresse, situation familiale) et contractuelles (salaire, grade, ancienneté) des 500 personnels. Données soumises au RGPD avec base légale d'exécution du contrat de travail.</t>
  </si>
  <si>
    <t>VM3.3 : Gestion administrative des étudiants (scolarité)</t>
  </si>
  <si>
    <t>Inscriptions administratives, gestion des conventions de stage, des bourses, des certificats de scolarité, des transferts de dossier.</t>
  </si>
  <si>
    <t>VM3.4 : Gestion financière et comptable</t>
  </si>
  <si>
    <t xml:space="preserve">Comptabilité générale, traitement des dépenses et recettes, gestion des marchés publics, relations avec l'agent comptable. </t>
  </si>
  <si>
    <t>A1.2 - Biens supports</t>
  </si>
  <si>
    <t xml:space="preserve">Sortie attendue de la partie cadrage de l'atelier 1 : Pour chaque valeur métier, identifier les biens supports (systèmes, applications, réseaux, postes, locaux, contrats…) qui la portent. Un même bien support peut servir plusieurs VM (nous le qualifions alors de "transverse" dans le document). Le responsable est l'entité ou la personne (interne ou externe) en charge de l'exploitation du bien.
Les descriptions des biens supports correspondent à ce que notre groupe avait engisagé pour la maquette lors de la réalisation de l'analyse de risque.
Nous notons aussi que (comme dans l'exemple du cours) les biens supports de type informationnels (par exemple, contrat) sont représentés dans cette analyse de risques par le(s) bien(s) support(s) qui les stockent. </t>
  </si>
  <si>
    <t>Tableau des biens supports</t>
  </si>
  <si>
    <t>Code BS</t>
  </si>
  <si>
    <t>Dénomination</t>
  </si>
  <si>
    <t>VM associée(s)</t>
  </si>
  <si>
    <t>Responsable</t>
  </si>
  <si>
    <t>Interne / Externe</t>
  </si>
  <si>
    <t>BS01</t>
  </si>
  <si>
    <t>Plateforme Moodle (`uc-srv-moodle`)</t>
  </si>
  <si>
    <t>Serveur applicatif Apache + PHP avec base MariaDB locale (instance liée à 127.0.0.1), hébergeant les espaces de cours, le dépôt de devoirs, les modules d'évaluation. Exposé en façade Internet via HTTP.</t>
  </si>
  <si>
    <t>VM1.1, VM1.2</t>
  </si>
  <si>
    <t>DSI</t>
  </si>
  <si>
    <t>Interne</t>
  </si>
  <si>
    <t>BS02</t>
  </si>
  <si>
    <t>Base de données Moodle (intégrée à `uc-srv-moodle`)</t>
  </si>
  <si>
    <t>Instance `mariadb-server` locale stockant les comptes utilisateurs (table `mdl_user`, hash bcrypt) et les notes (tables `mdl_grade_*`). Bind sur la boucle locale uniquement.</t>
  </si>
  <si>
    <t>VM1.3</t>
  </si>
  <si>
    <t>BS03</t>
  </si>
  <si>
    <t>Serveur de messagerie (`uc-srv-mail`)</t>
  </si>
  <si>
    <t>Postfix (SMTP/25), Dovecot (IMAP/143, POP3/110), comptes Unix locaux + Dovecot, hash crypt. Exposé en façade Internet pour SMTP et IMAP.</t>
  </si>
  <si>
    <t>VM1.4, VM2.3, VM3.1 (transverse)</t>
  </si>
  <si>
    <t>BS04</t>
  </si>
  <si>
    <t>Annuaire d'identité LDAP (`uc-srv-ldap`)</t>
  </si>
  <si>
    <t>OpenLDAP (slapd), suffix `dc=unicampus,dc=local`, OUs `people` et `groups`. Référentiel des comptes étudiants, enseignants, chercheurs, administratifs et DSI. Bind anonyme autorisé, TLS non configuré.</t>
  </si>
  <si>
    <t>Transverse (M1, M2, M3)</t>
  </si>
  <si>
    <t>BS05</t>
  </si>
  <si>
    <t>Serveur de calcul et stockage de recherche (`uc-calc-recherche`)</t>
  </si>
  <si>
    <t>Cumule : NFS (port 2049 + rpcbind 111) et Samba (445, 139) pour le partage de fichiers scientifiques, Jupyter (8888) pour les notebooks, PostgreSQL local (127.0.0.1:5432) pour les bases scientifiques.</t>
  </si>
  <si>
    <t>VM2.1, VM2.2</t>
  </si>
  <si>
    <t xml:space="preserve">DSI + Laboratoires </t>
  </si>
  <si>
    <t>BS06</t>
  </si>
  <si>
    <t>Application web RH (`uc-web-rh`)</t>
  </si>
  <si>
    <t>Application Apache + PHP exposant l'interface de gestion RH, communiquant avec `uc-db-rh` sur le port 3306. Pas d'exposition Internet directe : accessible uniquement depuis le réseau interne.</t>
  </si>
  <si>
    <t>VM3.1</t>
  </si>
  <si>
    <t>BS07</t>
  </si>
  <si>
    <t>Base de données RH (`uc-db-rh`)</t>
  </si>
  <si>
    <t>Instance MariaDB stockant les comptes (hash SHA1, sans politique de mot de passe) et les données RH des 500 personnels. Écoute sur toutes les interfaces (`0.0.0.0:3306`).</t>
  </si>
  <si>
    <t>VM3.2</t>
  </si>
  <si>
    <t>BS08</t>
  </si>
  <si>
    <t>Poste étudiant (`uc-poste-etu`)</t>
  </si>
  <si>
    <t>Poste de salle informatique (Kali Linux dans la maquette pour démonstration). Connecté en DHCP sur le réseau campus.</t>
  </si>
  <si>
    <t>VM1.1, VM1.4</t>
  </si>
  <si>
    <t>DSI + utilisateur étudiant</t>
  </si>
  <si>
    <t>BS09</t>
  </si>
  <si>
    <t>Poste enseignant et enseignant-chercheur (`uc-poste-prof`)</t>
  </si>
  <si>
    <t>Poste de travail Ubuntu Desktop 22.04. Cumule les rôles enseignant et enseignant-chercheur (mêmes credentials Moodle et recherche)</t>
  </si>
  <si>
    <t>VM1.1, VM1.2, VM2.1, VM2.2, VM1.4</t>
  </si>
  <si>
    <t>DSI + utilisateur enseignant</t>
  </si>
  <si>
    <t>BS10</t>
  </si>
  <si>
    <t>Poste administratif et DSI (`uc-poste-dsi`)</t>
  </si>
  <si>
    <t>Poste de travail Ubuntu Desktop 22.04 cumulant les rôles administration et DSI. Stocke en clair la clé SSH privée d'administration (`/home/ubuntu/.ssh/`). Fusion explicite de `uc-poste-admin` et du poste DSI dans la maquette v1.</t>
  </si>
  <si>
    <t>VM3.1 + administration transverse</t>
  </si>
  <si>
    <t>DSI + services administratifs</t>
  </si>
  <si>
    <t>BS11</t>
  </si>
  <si>
    <t>Passerelle périmétrique (`uc-fw-legacy`)</t>
  </si>
  <si>
    <t>Pare-feu historique Debian 10 avec iptables et `net.ipv4.ip_forward=1`. Politique INPUT/FORWARD/OUTPUT en ACCEPT, tables vidées, règle résiduelle d'écoute 8080/TCP. Floating IP exposant SSH d'administration.</t>
  </si>
  <si>
    <t>BS12</t>
  </si>
  <si>
    <t>Accès distant VPN (`uc-vpn-legacy`)</t>
  </si>
  <si>
    <t>Serveur VPN Ubuntu 22.04 / `pptpd` (port 1723/TCP + GRE proto 47). Authentification CHAP via `/etc/ppp/chap-secrets`, compte partagé `campus` / `unicampus2024`, chiffrement MPPE-128 (RC4 déprécié), aucun MFA.</t>
  </si>
  <si>
    <t>VM2.1, VM2.3 (recherche) ; potentiellement transverse pour le télétravail</t>
  </si>
  <si>
    <t>BS13</t>
  </si>
  <si>
    <t>Réseau campus (`uc-net-campus`)</t>
  </si>
  <si>
    <t>Unique sous-réseau interne : 192.168.107.0/24, gateway 192.168.107.1, DHCP 192.168.107.100–200. Aucun cloisonnement (étudiants, enseignants, serveurs, recherche partagent le même VLAN).</t>
  </si>
  <si>
    <t>A1.3 - Échelle de gravité (G1 à G4)</t>
  </si>
  <si>
    <t>Échelle calibrée pour UniCampus+ selon les axes de la slide 21 du cours : impact sur les missions/activités, sur les personnes et données, sur l'image et la gouvernance, financier, juridique. Cette échelle est utilisée pour réaliser le second rendu de l'atelier 1 pour coter les événements redoutés et à l'atelier 3 pour les scénarios stratégiques. 
Nous notons ici que certains des seuils ont été choisis à titre indicatif, sans l'expertise et le connaissance pour garantir la cohérence avec la réalité de l'éntité modélisée. Pour palier à cela, nous avons essayé de rester cohérents lors de la cotation des différents ER (quittent à ne pas respecter un des seuils stricto sensu).</t>
  </si>
  <si>
    <t>Échelle de gravité multi-dimensionnelle</t>
  </si>
  <si>
    <t>Niveau</t>
  </si>
  <si>
    <t>Libellé</t>
  </si>
  <si>
    <t>Missions / activité</t>
  </si>
  <si>
    <t>Personnes &amp; données</t>
  </si>
  <si>
    <t>Image &amp; gouvernance</t>
  </si>
  <si>
    <t>Finances</t>
  </si>
  <si>
    <t>Juridique</t>
  </si>
  <si>
    <t>G4</t>
  </si>
  <si>
    <t>Critique - survie menacée</t>
  </si>
  <si>
    <t>Arrêt &gt; 1 semaine d'un service vital (Moodle en période d'examens, paie) OU perte irrémédiable de données</t>
  </si>
  <si>
    <t>Fuite &gt; 1 000 personnes OU données sensibles (NIR, santé, RIB) OU atteinte à l'intégrité physique</t>
  </si>
  <si>
    <t>Décision de fermeture par la tutelle, mise sous tutelle, démission du président</t>
  </si>
  <si>
    <t>&gt; 1 M€ ou &gt; 4 % du budget annuel</t>
  </si>
  <si>
    <t>Sanction CNIL majeure, plaintes pénales massives</t>
  </si>
  <si>
    <t>G3</t>
  </si>
  <si>
    <t>Grave - mode très dégradé</t>
  </si>
  <si>
    <t>Indisponibilité 1 à 7 jours d'un service critique ; perte de données récupérables avec effort</t>
  </si>
  <si>
    <t>Fuite 100 à 1 000 personnes OU données personnelles ordinaires d'identification</t>
  </si>
  <si>
    <t>Couverture presse nationale, perte de confiance partenaires industriels ou ministère</t>
  </si>
  <si>
    <t>100 k€ – 1 M€</t>
  </si>
  <si>
    <t>Sanction CNIL significative, contentieux RH ou étudiant</t>
  </si>
  <si>
    <t>G2</t>
  </si>
  <si>
    <t>Significative - mode dégradé</t>
  </si>
  <si>
    <t>Indisponibilité &lt; 24 h, contournements possibles</t>
  </si>
  <si>
    <t>Fuite &lt; 100 personnes, données non sensibles</t>
  </si>
  <si>
    <t>Communication interne nécessaire, plaintes localisées</t>
  </si>
  <si>
    <t>10 k€ – 100 k€</t>
  </si>
  <si>
    <t>Notification CNIL simple, pas de sanction prévisible</t>
  </si>
  <si>
    <t>G1</t>
  </si>
  <si>
    <t>Mineure - pas d'impact opérationnel</t>
  </si>
  <si>
    <t>Incident résorbé sans perte de service utilisateur</t>
  </si>
  <si>
    <t>Aucune fuite ou fuite sans donnée personnelle</t>
  </si>
  <si>
    <t>Aucun impact externe</t>
  </si>
  <si>
    <t>&lt; 10 k€</t>
  </si>
  <si>
    <t>Aucun</t>
  </si>
  <si>
    <t>A1.4 - Événements redoutés et niveau de gravité</t>
  </si>
  <si>
    <t>Seconde sortie de l'atlier 1 : Liste des événements redoutés (ER) identifiés au regard des valeurs métier listées en A1.1 et cotés sur l'échelle de gravité de A1.3. Chaque ER est formulé en termes métier (sans description technique) ; les scénarios techniques associés sont produits à l'atelier 4. Les catégories d'impact sont issues des six axes de répercussion EBIOS RM (missions, personnes, gouvernance, finances, juridique, image), enrichis ici de la catégorie « patrimoine intellectuel » pour la mission Recherche.</t>
  </si>
  <si>
    <t>Liste des événements redoutés</t>
  </si>
  <si>
    <t>Code ER</t>
  </si>
  <si>
    <t>Événement redouté</t>
  </si>
  <si>
    <t>Catégories d'impact</t>
  </si>
  <si>
    <t>Gravité</t>
  </si>
  <si>
    <t>M1 - VM1.2 / VM1.3
Évaluation et résultats académiques</t>
  </si>
  <si>
    <t>ER03</t>
  </si>
  <si>
    <t>Altération frauduleuse des notes, moyennes ou diplômes</t>
  </si>
  <si>
    <t>• Impacts sur les missions et services de l'organisme
• Impacts sur l'image et la confiance
• Impacts juridiques (contestation des diplômes, contentieux étudiants)</t>
  </si>
  <si>
    <t>M1 - VM1.1 / VM1.4
Services pédagogiques numériques (plateforme et messagerie)</t>
  </si>
  <si>
    <t>ER04</t>
  </si>
  <si>
    <t>Interruption de l'accès aux services pédagogiques pendant plus de 24 h</t>
  </si>
  <si>
    <t>• Impacts sur les missions et services de l'organisme
• Impacts sur l'image et la confiance</t>
  </si>
  <si>
    <t>ER08</t>
  </si>
  <si>
    <t>Détournement de la messagerie institutionnelle pour des campagnes externes malveillantes (phishing, spam)</t>
  </si>
  <si>
    <t>• Impacts sur l'image et la confiance</t>
  </si>
  <si>
    <t>M2 - VM2.2
Patrimoine scientifique</t>
  </si>
  <si>
    <t>ER02</t>
  </si>
  <si>
    <t>Fuite des données et résultats de recherche de l'établissement</t>
  </si>
  <si>
    <t>• Impacts sur le patrimoine intellectuel
• Impacts financiers (brevets compromis, contrats partenaires rompus)
• Impacts sur l'image et la confiance (partenaires académiques et industriels)</t>
  </si>
  <si>
    <t>ER09</t>
  </si>
  <si>
    <t>Perte ou destruction définitive des données et résultats de recherche</t>
  </si>
  <si>
    <t>• Impacts sur les missions et services de l'organisme
• Impacts sur le patrimoine intellectuel
• Impacts financiers (engagements ANR / européens compromis)</t>
  </si>
  <si>
    <t>M3 - VM3.2
Données personnelles et contractuelles</t>
  </si>
  <si>
    <t>ER01</t>
  </si>
  <si>
    <t>Fuite massive des données personnelles des étudiants et personnels (identité, NIR, RIB, dossiers, notes)</t>
  </si>
  <si>
    <t>• Impacts sur les personnes (atteinte à la vie privée)
• Impacts juridiques (sanction RGPD / CNIL, notification 72 h)
• Impacts sur l'image et la confiance
• Impacts financiers (sanction administrative, indemnisations)</t>
  </si>
  <si>
    <t>M3 - VM3.1
Gestion des ressources humaines</t>
  </si>
  <si>
    <t>ER05</t>
  </si>
  <si>
    <t>Altération frauduleuse de la paie et des données de gestion RH</t>
  </si>
  <si>
    <t>• Impacts sur les missions et services de l'organisme
• Impacts financiers (paie détournée ou erronée)
• Impacts juridiques (contentieux RH)
• Impacts sur les personnes (retard ou perte de rémunération)</t>
  </si>
  <si>
    <t>Transverse
Valeurs métier de M1, M2 et M3</t>
  </si>
  <si>
    <t>ER06</t>
  </si>
  <si>
    <t>Interruption massive et simultanée de l'ensemble des services numériques de l'établissement</t>
  </si>
  <si>
    <t>• Impacts sur les missions et services de l'organisme
• Impacts financiers (coût de remédiation, perte d'exploitation)
• Impacts sur l'image et la confiance
• Impacts juridiques (selon les données affectées)</t>
  </si>
  <si>
    <t xml:space="preserve">Note : la gravité de ER04 est calibrée à G3 hors période d'examens et G4 pendant une session d'examens </t>
  </si>
  <si>
    <t>A2.0 - Échelle de pertinence des couples SR/OV</t>
  </si>
  <si>
    <t>Matrice utiliséé pour determiner la pertinence d'un couple SR/OV à partir de la motivation et des ressources disponibles pour qu'un acteur accomplisse un certain objectif.</t>
  </si>
  <si>
    <t>Matrice Motivation × Ressources → Pertinence</t>
  </si>
  <si>
    <t>RESSOURCES (ressources financières, compétences cyber, outillage, temps)</t>
  </si>
  <si>
    <t>MOTIVATION</t>
  </si>
  <si>
    <t>Ressources limitées</t>
  </si>
  <si>
    <t>Ressources significatives</t>
  </si>
  <si>
    <t>Ressources importantes</t>
  </si>
  <si>
    <t>Ressources illimitées</t>
  </si>
  <si>
    <t>Fortement motivé</t>
  </si>
  <si>
    <t>Moyennement pertinent</t>
  </si>
  <si>
    <t>Plutôt pertinent</t>
  </si>
  <si>
    <t>Très pertinent</t>
  </si>
  <si>
    <t>Assez motivé</t>
  </si>
  <si>
    <t>Peu motivé</t>
  </si>
  <si>
    <t>Peu pertinent</t>
  </si>
  <si>
    <t>Très peu motivé</t>
  </si>
  <si>
    <t>Définition des niveaux de motivation</t>
  </si>
  <si>
    <t>Définition</t>
  </si>
  <si>
    <t>Enjeu personnel direct, gain financier élevé, idéologie forte, intérêt stratégique majeur. La source poursuivra son objectif coûte que coûte.</t>
  </si>
  <si>
    <t>Enjeu réel mais non vital. La source poursuivra son objectif si l'opportunité s'offre, mais pas à tout prix.</t>
  </si>
  <si>
    <t>Intérêt opportuniste, défi ponctuel, curiosité. La source attaque si l'attaque est facile, sinon abandonne.</t>
  </si>
  <si>
    <t>Pas d'intérêt direct envers l'objet d'étude. L'organisation pourrait être affectée comme dommage collatéral d'une attaque non ciblée.</t>
  </si>
  <si>
    <t>Définition des niveaux de ressources</t>
  </si>
  <si>
    <t>Outillage standard (Kali, scripts publics), compétences faibles à moyennes, temps disponible limité, pas de ressources financières dédiées à l'attaque.</t>
  </si>
  <si>
    <t>Outillage avancé, compétences intermédiaires à fortes, temps disponible important. Profil typique : groupe organisé sans soutien étatique, insider qualifié, hacktiviste structuré.</t>
  </si>
  <si>
    <t>Infrastructure d'attaque dédiée (C2, kits sur-mesure), compétences fortes, ressources financières conséquentes. Profil typique : groupe cybercriminel organisé (RaaS).</t>
  </si>
  <si>
    <t>Capacités étatiques type APT : 0-days, ressources humaines et financières quasi sans limite, opérations longue durée, supply-chain attacks possibles.</t>
  </si>
  <si>
    <t>Définition des niveaux de pertinence et décision associée</t>
  </si>
  <si>
    <t>Pertinence</t>
  </si>
  <si>
    <t>Signification</t>
  </si>
  <si>
    <t>Décision suggérée</t>
  </si>
  <si>
    <t>Couple théoriquement possible mais peu susceptible de se concrétiser : motivation faible et/ou ressources insuffisantes.</t>
  </si>
  <si>
    <t>Écarté</t>
  </si>
  <si>
    <t>Couple plausible mais non prioritaire. Mérite d'être surveillé pour détecter une évolution.</t>
  </si>
  <si>
    <t>Surveillance</t>
  </si>
  <si>
    <t>Couple probable à intégrer dans l'analyse des scénarios stratégiques (atelier 3).</t>
  </si>
  <si>
    <t>Retenu</t>
  </si>
  <si>
    <t>Couple hautement probable à intégrer prioritairement dans les scénarios stratégiques.</t>
  </si>
  <si>
    <t>A2.1 - Sources de risque</t>
  </si>
  <si>
    <t>Liste des sources de risque identifiés au regard de l'entité Unicampus+. Cette liste (qui n'est pas en elle-même un livrable de l'atlier 2) sert à l'établissement des couples SR/OV.
Nous notons qu'ils ne nous a pas parru pertinant de considerer les erreurs humaines comme une source de risque, ces dernières n'ayant aucune motivation ni capacité propre.</t>
  </si>
  <si>
    <t>Typologie des sources de risque retenues pour UniCampus+</t>
  </si>
  <si>
    <t>Code SR</t>
  </si>
  <si>
    <t>Profil</t>
  </si>
  <si>
    <t>Description et profil sociologique</t>
  </si>
  <si>
    <t>Capacités typiques</t>
  </si>
  <si>
    <t>SR-A</t>
  </si>
  <si>
    <t>Étudiant malveillant</t>
  </si>
  <si>
    <t>Étudiant inscrit à UniCampus+. Profil hétérogène sur 12 000 individus : une fraction non négligeable dispose de compétences cyber réelles (Master Info, double cursus, autoformation). Bénéficie d'un accès physique au campus et au WiFi étudiants. Motivation typiquement personnelle (notes, examens) ou de défi.</t>
  </si>
  <si>
    <t>Motivation variable selon l'OV ; ressources globalement significatives (compétences disponibles, temps illimité, accès interne).</t>
  </si>
  <si>
    <t>SR-B</t>
  </si>
  <si>
    <t>Cybercriminel organisé</t>
  </si>
  <si>
    <t>Externe</t>
  </si>
  <si>
    <t>Groupe cybercriminel à objectif financier (ransomware-as-a-service, revente de données). Cible opportuniste : UniCampus+ représente une cible attractive (budget public, données nombreuses, sécurité historiquement faible dans l'ESR français).</t>
  </si>
  <si>
    <t>Motivation forte (gain financier) ; ressources importantes (kits ransomware matures, infrastructure C2).</t>
  </si>
  <si>
    <t>SR-C</t>
  </si>
  <si>
    <t>Acteur étatique / concurrent (APT)</t>
  </si>
  <si>
    <t>Service de renseignement étranger ou concurrent industriel ciblant le patrimoine scientifique d'UniCampus+. Pertinence dépendant du caractère stratégique des recherches conduites (dual-use, IA, biotech, cryptographie…).</t>
  </si>
  <si>
    <t>Motivation modérée à forte selon les domaines de recherche ; ressources illimitées (APT, supply-chain, 0-days).</t>
  </si>
  <si>
    <t>SR-D</t>
  </si>
  <si>
    <t>Hacktiviste</t>
  </si>
  <si>
    <t>Individu ou collectif motivé par une cause idéologique (transparence, justice sociale, animaux de laboratoire, partenariats industriels controversés). Capable d'attaques médiatisées (défacement, fuites volontaires).</t>
  </si>
  <si>
    <t>Motivation variable selon les causes pertinentes vis-à-vis d'UniCampus+ ; ressources significatives (compétences réelles, outillage public et privé).</t>
  </si>
  <si>
    <t>SR-E</t>
  </si>
  <si>
    <t>Personnel mécontent ou ex-personnel</t>
  </si>
  <si>
    <t>Interne ou ex-interne</t>
  </si>
  <si>
    <t>Membre ou ancien membre du personnel administratif, enseignant ou DSI, agissant par vengeance, fraude personnelle ou en réaction à un licenciement, une sanction ou un conflit. Bénéficie d'un accès légitime ou résiduel (compte non révoqué) et d'une connaissance fine du SI.</t>
  </si>
  <si>
    <t>Motivation modérée à forte selon le contexte (fraude RH, vengeance) ; ressources significatives (accès interne, connaissance du SI).</t>
  </si>
  <si>
    <t>A2.2 - Couples Source de risque / Objectif visé</t>
  </si>
  <si>
    <t>Première sortie de l'atelier  2 : Tableau des couples SR/OV évalués pour UniCampus+.</t>
  </si>
  <si>
    <t>Liste des couples SR/OV évalués</t>
  </si>
  <si>
    <t>Code couple</t>
  </si>
  <si>
    <t>Source de risque</t>
  </si>
  <si>
    <t>Objectif visé</t>
  </si>
  <si>
    <t>Motivation</t>
  </si>
  <si>
    <t>Ressources</t>
  </si>
  <si>
    <t>Pertinence (calculée)</t>
  </si>
  <si>
    <t>Décision</t>
  </si>
  <si>
    <t>ER ciblé(s)</t>
  </si>
  <si>
    <t>C01</t>
  </si>
  <si>
    <t>SR-A Étudiant malveillant</t>
  </si>
  <si>
    <t>Compromettre les résultats académiques (modifier notes, voler sujets d'examen)</t>
  </si>
  <si>
    <t>C02</t>
  </si>
  <si>
    <t>Sabotage opportuniste (défi, curiosité, perturbation d'une session d'examens)</t>
  </si>
  <si>
    <t>ER04, ER08</t>
  </si>
  <si>
    <t>C03</t>
  </si>
  <si>
    <t>SR-B Cybercriminel organisé</t>
  </si>
  <si>
    <t>Extorquer une rançon par chiffrement de l'infrastructure</t>
  </si>
  <si>
    <t>ER06, ER04</t>
  </si>
  <si>
    <t>C04</t>
  </si>
  <si>
    <t>Revendre les données personnelles des étudiants et personnels sur le marché noir</t>
  </si>
  <si>
    <t>C05</t>
  </si>
  <si>
    <t>SR-C Acteur étatique / concurrent</t>
  </si>
  <si>
    <t>Exfiltrer le patrimoine scientifique stratégique des laboratoires</t>
  </si>
  <si>
    <t>C06</t>
  </si>
  <si>
    <t>SR-D Hacktiviste</t>
  </si>
  <si>
    <t>Publier des données personnelles pour discréditer l'institution</t>
  </si>
  <si>
    <t>C07</t>
  </si>
  <si>
    <t>Défacer la plateforme Moodle ou saboter l'image institutionnelle</t>
  </si>
  <si>
    <t>C08</t>
  </si>
  <si>
    <t>SR-E Personnel mécontent ou ex-personnel</t>
  </si>
  <si>
    <t>Détourner la paie ou frauder le système de gestion RH</t>
  </si>
  <si>
    <t>C09</t>
  </si>
  <si>
    <t>Détruire ou altérer des données par vengeance</t>
  </si>
  <si>
    <t>ER05, ER09</t>
  </si>
  <si>
    <t>A2.3 - Liens entre les couples SR/OV et les événements redoutés</t>
  </si>
  <si>
    <t>Seconde sortie de l'atlier 2 : Lien entre les différents couples SR//OV et les ER. Ce tableau est l'équivalent du visuel de la slide 32 du cours. 
Lecture : Pour chaque ER, on liste les couples qui le portent avec leur pertinence par gravité descendante.</t>
  </si>
  <si>
    <t>Couples SR/OV portant chaque événement redouté (triés par gravité descendante)</t>
  </si>
  <si>
    <t>Couple SR/OV</t>
  </si>
  <si>
    <t>Fuite massive des données personnelles des étudiants et personnels</t>
  </si>
  <si>
    <t>SR-B Cybercriminel × Revente de données personnelles</t>
  </si>
  <si>
    <t>SR-D Hacktiviste × Publication de données pour discrédit</t>
  </si>
  <si>
    <t>Interruption massive et simultanée de l'ensemble des services numériques</t>
  </si>
  <si>
    <t>SR-B Cybercriminel × Extorsion par rançongiciel</t>
  </si>
  <si>
    <t>Fuite des données et résultats de recherche</t>
  </si>
  <si>
    <t>SR-C Acteur étatique × Exfiltration du patrimoine scientifique</t>
  </si>
  <si>
    <t>SR-A Étudiant × Compromission des résultats académiques</t>
  </si>
  <si>
    <t>Interruption de l'accès aux services pédagogiques &gt; 24 h (notamment examens)</t>
  </si>
  <si>
    <t>SR-B Cybercriminel × Extorsion par rançongiciel (effet de bord)</t>
  </si>
  <si>
    <t>SR-A Étudiant × Sabotage opportuniste</t>
  </si>
  <si>
    <t>SR-D Hacktiviste × Défacement / sabotage image</t>
  </si>
  <si>
    <t>Altération frauduleuse de la paie et des données RH</t>
  </si>
  <si>
    <t>SR-E Personnel mécontent × Détournement de la paie</t>
  </si>
  <si>
    <t>SR-E Personnel mécontent × Vengeance par destruction (volet RH)</t>
  </si>
  <si>
    <t>Perte ou destruction définitive des données de recherche</t>
  </si>
  <si>
    <t>SR-E Personnel mécontent × Vengeance par destruction</t>
  </si>
  <si>
    <t>Détournement de la messagerie pour campagnes externes malveillantes</t>
  </si>
  <si>
    <t>SR-A Étudiant × Sabotage opportuniste (volet mail)</t>
  </si>
  <si>
    <t>SR-D Hacktiviste × Défacement / sabotage image (volet mail)</t>
  </si>
  <si>
    <t>A3.0 - Critères d'évaluation de la dangerosité des parties prenantes</t>
  </si>
  <si>
    <t xml:space="preserve">Échelles d'évaluation des risques associés aux parties prenantes PP exterieurs (prestataires/ partenaires) en fonction des 4 critères vue dans le cours.
Le premier tableau sert d'indication pour caractériser les différents niveaux de risques. 
Les deux tableaux suivants définissent des seuils precis utilisés pour les rendus de l'atelier 3.
</t>
  </si>
  <si>
    <t>Échelles d'évaluation (4 niveaux par critère)</t>
  </si>
  <si>
    <t>EXPOSITION (taille de la bulle sur le radar)</t>
  </si>
  <si>
    <t>FIABILITÉ CYBER (couleur de la bulle sur le radar)</t>
  </si>
  <si>
    <t>Dépendance</t>
  </si>
  <si>
    <t>Pénétration</t>
  </si>
  <si>
    <t>Maturité cyber</t>
  </si>
  <si>
    <t>Confiance</t>
  </si>
  <si>
    <t>Pas de lien avec le SI de la partie prenante pour réaliser la mission.</t>
  </si>
  <si>
    <t>Pas d'accès ou accès avec des privilèges de type utilisateur à des terminaux utilisateurs (poste de travail, ordiphone, etc.).</t>
  </si>
  <si>
    <t>Des règles d'hygiène sont appliquées ponctuellement et non formalisées. La capacité de réaction sur incident est incertaine.</t>
  </si>
  <si>
    <t>Les intentions de la partie prenante ne sont pas connues.</t>
  </si>
  <si>
    <t>Lien avec le SI de la partie prenante utile à la réalisation de la mission.</t>
  </si>
  <si>
    <t>Accès avec privilèges de type administrateur à des terminaux utilisateurs (parc informatique, flotte de terminaux mobiles, etc.) ou accès physique aux bureaux de l'organisme.</t>
  </si>
  <si>
    <t>Les règles d'hygiène et la réglementation sont prises en compte, sans intégration dans une politique globale. La sécurité numérique est assurée selon un mode réactif.</t>
  </si>
  <si>
    <t>Les intentions de la partie prenante sont considérées comme neutres.</t>
  </si>
  <si>
    <t>Lien avec le SI de la partie prenante indispensable mais non exclusif (possible substitution).</t>
  </si>
  <si>
    <t>Accès avec privilèges de type administrateur à des serveurs « métier » (serveur de fichiers, bases de données, serveur web, serveur d'application, etc.).</t>
  </si>
  <si>
    <t>Une politique globale est appliquée en matière de sécurité numérique. Celle-ci est assurée selon un mode réactif, avec une recherche de centralisation et d'anticipation sur certains risques.</t>
  </si>
  <si>
    <t>Les intentions de la partie prenante sont connues et probablement positives.</t>
  </si>
  <si>
    <t>Lien avec le SI de la partie prenante indispensable et unique (pas de substitution possible).</t>
  </si>
  <si>
    <t>Accès avec privilèges de type administrateur à des équipements d'infrastructure (annuaires d'entreprise, DNS, DHCP, switchs, pare-feu, hyperviseurs, baies de stockage, etc.) ou accès physique aux salles serveurs de l'organisme.</t>
  </si>
  <si>
    <t>La partie prenante met en œuvre une politique de management du risque. La politique est intégrée et prend pleinement en compte une dimension proactive.</t>
  </si>
  <si>
    <t>Les intentions de la partie prenante sont parfaitement connues et pleinement compatibles avec celles de l'organisation étudiée.</t>
  </si>
  <si>
    <t>Seuils des zones de dangerosité (issus du guide ANSSI p.47)</t>
  </si>
  <si>
    <t>Zone</t>
  </si>
  <si>
    <t>Couleur</t>
  </si>
  <si>
    <t>Borne inférieure</t>
  </si>
  <si>
    <t>Borne supérieure</t>
  </si>
  <si>
    <t>Interprétation</t>
  </si>
  <si>
    <t>Veille</t>
  </si>
  <si>
    <t>Vert</t>
  </si>
  <si>
    <t>0</t>
  </si>
  <si>
    <t>0,2</t>
  </si>
  <si>
    <t>Niveau de dangerosité acceptable, surveillance simple.</t>
  </si>
  <si>
    <t>Contrôle</t>
  </si>
  <si>
    <t>Jaune / Orange</t>
  </si>
  <si>
    <t>2,5</t>
  </si>
  <si>
    <t>Niveau de dangerosité modéré, mesures de contrôle à maintenir et renforcer si nécessaire.</t>
  </si>
  <si>
    <t>Danger</t>
  </si>
  <si>
    <t>Rouge</t>
  </si>
  <si>
    <t>16 (max)</t>
  </si>
  <si>
    <t>Partie prenante critique (PPC) : intégration prioritaire aux scénarios stratégiques et mesures de réduction.</t>
  </si>
  <si>
    <t>Paliers d'agrégation (taille et couleur des bulles sur le radar)</t>
  </si>
  <si>
    <t>Critère</t>
  </si>
  <si>
    <t>Palier 1</t>
  </si>
  <si>
    <t>Palier 2</t>
  </si>
  <si>
    <t>Palier 3</t>
  </si>
  <si>
    <t>Palier 4</t>
  </si>
  <si>
    <t>EXPOSITION (D × P)</t>
  </si>
  <si>
    <t>&lt; 3</t>
  </si>
  <si>
    <t>3 à 6</t>
  </si>
  <si>
    <t>7 à 9</t>
  </si>
  <si>
    <t>&gt; 9</t>
  </si>
  <si>
    <t>FIABILITÉ CYBER (M × C)</t>
  </si>
  <si>
    <t>&lt; 4</t>
  </si>
  <si>
    <t>4 à 5</t>
  </si>
  <si>
    <t>6 à 7</t>
  </si>
  <si>
    <t>&gt; 7</t>
  </si>
  <si>
    <t>A3.1 - Parties prenantes de l'écosystème d'UniCampus+</t>
  </si>
  <si>
    <t xml:space="preserve">Rendu de l'atelier 3 : Liste des parties prenantes (PP) externes identifiées dans l'écosystème d'UniCampus+. </t>
  </si>
  <si>
    <t>Typologie des parties prenantes de l'écosystème</t>
  </si>
  <si>
    <t>Code PP</t>
  </si>
  <si>
    <t>Catégorie</t>
  </si>
  <si>
    <t>Description et nature de la relation</t>
  </si>
  <si>
    <t>Interaction avec UniCampus+</t>
  </si>
  <si>
    <t>PA1</t>
  </si>
  <si>
    <t>Partenaire</t>
  </si>
  <si>
    <t>Laboratoires de recherche partenaires</t>
  </si>
  <si>
    <t>Autres établissements de recherche (universités, EPIC, EPST) avec lesquels les laboratoires d'UniCampus+ co-publient, partagent des données scientifiques et conduisent des projets communs (ANR, projets européens).</t>
  </si>
  <si>
    <t>Partage de données de recherche (NFS / Samba), comptes invités, conventions de collaboration.</t>
  </si>
  <si>
    <t>PA2</t>
  </si>
  <si>
    <t>Partenaires industriels et financeurs</t>
  </si>
  <si>
    <t>Entreprises co-finançant des projets de recherche bilatéraux, chaires industrielles, contrats CIFRE. Peuvent recevoir des livrables de recherche et fournir des données ou des moyens.</t>
  </si>
  <si>
    <t>Échanges de livrables, accès ponctuel aux résultats intermédiaires, contrats de propriété intellectuelle.</t>
  </si>
  <si>
    <t>PA3</t>
  </si>
  <si>
    <t>Ministère de l'Enseignement Supérieur (tutelle)</t>
  </si>
  <si>
    <t>Autorité de tutelle administrative et financière. Reçoit du reporting et opère des contrôles. Pas d'interconnexion SI directe mais transmission régulière de données institutionnelles.</t>
  </si>
  <si>
    <t>Reporting périodique, transmission de données agrégées (effectifs, indicateurs).</t>
  </si>
  <si>
    <t>PA4</t>
  </si>
  <si>
    <t>CNIL (régulateur RGPD)</t>
  </si>
  <si>
    <t>Autorité administrative indépendante de contrôle des données personnelles. Interaction réglementaire (notifications d'incidents, contrôles éventuels).</t>
  </si>
  <si>
    <t>Notifications d'incident sous 72 h, contrôles ponctuels, recommandations.</t>
  </si>
  <si>
    <t>PR1</t>
  </si>
  <si>
    <t>Prestataire</t>
  </si>
  <si>
    <t>Éditeurs et mainteneurs logiciels</t>
  </si>
  <si>
    <t>Éditeurs des logiciels métier du SI : Moodle, application RH, OpenLDAP, Postfix/Dovecot. Fournissent les correctifs de sécurité et le support. Pas d'accès distant direct dans la maquette v1, mais peuvent intervenir en télémaintenance ponctuelle.</t>
  </si>
  <si>
    <t>Mises à jour, correctifs, support de niveau 2-3, télémaintenance occasionnelle.</t>
  </si>
  <si>
    <t>PR2</t>
  </si>
  <si>
    <t>RENATER (opérateur réseau de l'ESR)</t>
  </si>
  <si>
    <t>Opérateur du réseau national de l'enseignement supérieur et de la recherche français, assurant le raccordement Internet d'UniCampus+ et la fédération d'identités (Renater Identity Federation).</t>
  </si>
  <si>
    <t>Raccordement Internet, transit, services mutualisés (DNS, fédération d'identité).</t>
  </si>
  <si>
    <t>PR3</t>
  </si>
  <si>
    <t>Fournisseurs de bibliothèque numérique</t>
  </si>
  <si>
    <t>Fournisseurs externes de ressources documentaires accédées via la VM1.5 non instrumentée (Couperin, Cairn, EBSCO, ScienceDirect, etc.). Accès SSO/IP-based, hébergement chez le fournisseur.</t>
  </si>
  <si>
    <t>Accès aux ressources via IP filtering ou proxy d'authentification, transmission des historiques de consultation.</t>
  </si>
  <si>
    <t>A3.2 - Cartographie de dangerosité de l'écosystème</t>
  </si>
  <si>
    <t>Évaluation de chaque partie prenante sur les 4 critères de A3.0 (notes 1-4). Les colonnes Exposition (D×P), Fiabilité cyber (M×C) et Dangerosité ((D×P)/(M×C)) sont calculées par formule. La zone (Veille / Contrôle / Danger) résulte de la dangerosité et des seuils ANSSI (0,2 et 2,5). Les parties prenantes en zone Danger sont les Parties Prenantes Critiques (PPC) à intégrer prioritairement aux scénarios stratégiques de A3.3. Le radar ci-dessous reproduit le visuel des slides 35-37 du cours.</t>
  </si>
  <si>
    <t>Évaluation de la dangerosité des parties prenantes</t>
  </si>
  <si>
    <t>Dépendance (D)</t>
  </si>
  <si>
    <t>Pénétration (P)</t>
  </si>
  <si>
    <t>Exposition (D×P)</t>
  </si>
  <si>
    <t>Maturité (M)</t>
  </si>
  <si>
    <t>Confiance (C)</t>
  </si>
  <si>
    <t>Fiabilité (M×C)</t>
  </si>
  <si>
    <t>Dangerosité ((D×P)/(M×C))</t>
  </si>
  <si>
    <t>PPC ?</t>
  </si>
  <si>
    <t>Ministère de l'Enseignement Supérieur</t>
  </si>
  <si>
    <t>RENATER (opérateur réseau ESR)</t>
  </si>
  <si>
    <t>Synthèse - Parties prenantes critiques (PPC)</t>
  </si>
  <si>
    <t>Les parties prenantes dont la colonne PPC indique « Oui » sont les Parties Prenantes Critiques (PPC) au sens ANSSI : elles seront intégrées prioritairement aux scénarios stratégiques de A3.3 et feront l'objet de mesures de sécurité spécifiques en A3.4. Les PP en zone Contrôle ne sont pas PPC mais doivent être surveillées.
Au vue de cette analyse, aucune partie prenante n'est identifé comme critique. Cela peut se justifier par le fait que l'entité Unicampus, dans la modélisation que nous en avons faites est particulièrement autonome et dont les partenaires possède un niveau de confiance relativement élevé.</t>
  </si>
  <si>
    <t>Visualisation radar de la cartographie (équivalent slide 37 du cours et p.47 du guide ANSSI)</t>
  </si>
  <si>
    <t>A3.3 - Scénarios stratégiques</t>
  </si>
  <si>
    <t>Second rendu pour l'atelier 3 : Pour chaque couple SR/OV Retenu en A2.2, on construit un scénario stratégique de haut niveau qui décrit 1 à 3 chemins d'attaque (attaque directe ou rebond via une PPC). Format inspiré du guide ANSSI p.52. La gravité est héritée de l'événement redouté associé en A1.4 (slide 32 du cours). Les chemins par rebond ciblent en priorité les parties prenantes en zone de danger ou de contrôle élevée identifiées en A3.2. Les scénarios stratégiques retenus ici servent d'entrée à l'atelier 4 (scénarios opérationnels).</t>
  </si>
  <si>
    <t>Scénarios stratégiques retenus (un par couple SR/OV)</t>
  </si>
  <si>
    <t>Code scénario</t>
  </si>
  <si>
    <t>Code SR/OV</t>
  </si>
  <si>
    <t>Chemins d'attaque stratégiques</t>
  </si>
  <si>
    <t>ER associé(s)</t>
  </si>
  <si>
    <t>SS1</t>
  </si>
  <si>
    <t>Un étudiant compromet ses propres résultats académiques :
1. en exploitant directement, depuis le WiFi étudiant, les services pédagogiques internes (la plateforme Moodle et l'annuaire d'identité sont accessibles sans cloisonnement) ;
2. par usurpation d'identité d'un enseignant après vol de credentials (réutilisation, phishing ciblé) — chemin pivot vers ER07.</t>
  </si>
  <si>
    <t>SS2</t>
  </si>
  <si>
    <t>Un cybercriminel paralyse l'établissement par rançongiciel :
1. par phishing ciblé du personnel (attaque directe la plus fréquente dans l'ESR français) ;
2. par rebond via un éditeur ou mainteneur logiciel compromis (PR1) — supply chain attack sur un correctif ou une mise à jour de Moodle, application RH ou autre composant ;
3. par exploitation d'une vulnérabilité connue non patchée sur un service exposé en façade Internet.</t>
  </si>
  <si>
    <t>SS3</t>
  </si>
  <si>
    <t>Revendre des données personnelles des étudiants et personnels</t>
  </si>
  <si>
    <t>Un cybercriminel exfiltre la base de données personnelles pour revente :
1. par exploitation directe d'une vulnérabilité applicative ou d'un bind LDAP anonyme depuis Internet ;
2. par rebond via un éditeur logiciel compromis (PR1) ayant accès en télémaintenance.</t>
  </si>
  <si>
    <t>SS4</t>
  </si>
  <si>
    <t>Exfiltrer le patrimoine scientifique stratégique</t>
  </si>
  <si>
    <t>Un acteur étatique vole les travaux de recherche :
1. par compromission directe du serveur de calcul et stockage de recherche depuis Internet ;
2. par rebond via un laboratoire de recherche partenaire (PA1) moins bien sécurisé qui détient des copies des données partagées (chemin similaire à l'exemple p.52 du guide ANSSI) ;
3. par rebond via un partenaire industriel (PA2) ayant accès à des livrables intermédiaires.</t>
  </si>
  <si>
    <t>SS5</t>
  </si>
  <si>
    <t>CR08</t>
  </si>
  <si>
    <t>Un personnel mécontent fraude le système RH :
1. depuis le réseau interne, en utilisant un compte légitime non révoqué pour modifier les éléments de paie ou les RIB de versement ;
2. par exploitation d'une vulnérabilité applicative de l'application RH.</t>
  </si>
  <si>
    <t>SS6</t>
  </si>
  <si>
    <t>CR09</t>
  </si>
  <si>
    <t>Un personnel mécontent détruit les données pour se venger :
1. en supprimant ou chiffrant les données sur les serveurs accessibles avec son compte (RH, recherche) ;
2. par rebond via un laboratoire partenaire (PA1) auquel il avait accès, pour atteindre des données partagées encore en cours.</t>
  </si>
  <si>
    <t>A3.4 - Mesures de sécurité sur l'écosystème</t>
  </si>
  <si>
    <t>Mesures organisationnelles, contractuelles et techniques portant sur les parties prenantes critiques (PPC) identifiées en A3.2 et impliquées dans les scénarios stratégiques de A3.3. Format inspiré du guide ANSSI p.54. Pour chaque PPC, on précise les chemins d'attaque associés, les mesures à mettre en place, la dangerosité initiale et la dangerosité résiduelle estimée après mise en œuvre. Selon le guide ANSSI (p.53), la dangerosité résiduelle n'est utilisable que si la mesure est effectivement mise en œuvre avant la suite de l'analyse. Les mesures internes à UniCampus+ (durcissement maquette) seront traitées en atelier 5.</t>
  </si>
  <si>
    <t>Mesures de sécurité pour les parties prenantes critiques</t>
  </si>
  <si>
    <t>Partie prenante</t>
  </si>
  <si>
    <t>Mesures de sécurité</t>
  </si>
  <si>
    <t>Dangerosité initiale</t>
  </si>
  <si>
    <t>Dangerosité résiduelle</t>
  </si>
  <si>
    <t>Déploiement de rançongiciel par supply-chain (SS2 chemin 2) ; exfiltration de données via télémaintenance (SS3 chemin 2)</t>
  </si>
  <si>
    <t xml:space="preserve">Accroître la maturité cyber et la confiance des prestataires logiciels :
• inclure dans les contrats des clauses cyber (RGPD, notification d'incident &lt; 72 h, audit de sécurité périodique, droit d'audit) ;
• vérifier la signature des correctifs et mises à jour avant déploiement ;
• imposer un accès distant via un canal authentifié et journalisé (suppression de tout accès permanent non maîtrisé) ;
• exiger une attestation de conformité (ISO 27001 ou équivalent) pour les éditeurs de logiciels métier sensibles (RH notamment).
Effet attendu : Maturité 2 → 3, Confiance 2  → 3 </t>
  </si>
  <si>
    <t>Exfiltration du patrimoine scientifique par rebond (SS4 chemin 2) ; destruction collatérale par personnel mécontent (SS6 chemin 2)</t>
  </si>
  <si>
    <t>Diminuer la pénétration des laboratoires partenaires et accroître leur maturité cyber :
• limiter strictement le partage de données au juste besoin (principe du moindre privilège) actuellement, les données partagées via NFS/Samba sont accessibles trop largement ;
• cloisonner les espaces de partage par projet / convention ;
• inclure dans les conventions de collaboration des clauses sur la sécurité des données (chiffrement, traçabilité, notification d'incident) ;
• organiser des audits croisés ponctuels sur les partages de données les plus sensibles.
Effet attendu : Pénétration 3 → 2.</t>
  </si>
  <si>
    <t>Exfiltration du patrimoine scientifique par rebond (SS4 chemin 3)</t>
  </si>
  <si>
    <t>Encadrer contractuellement la diffusion des livrables intermédiaires :
• transmission de livrables uniquement sous forme contractuellement définie (versionnage, filigrane numérique, restrictions d'usage) ;
• clause de confidentialité renforcée ;
• transmission via canaux chiffrés exclusivement (suppression du mail en clair pour les livrables).
Effet attendu : Confiance 3 → 4 (intentions parfaitement connues et compatibles).</t>
  </si>
  <si>
    <t>Hors scénarios principaux ; vigilance générale (VM1.5 non instrumentée)</t>
  </si>
  <si>
    <t>Mesures préventives génériques :
• contrôler la liste des fournisseurs et leur fédération d'identité ;
• vérifier la non-transmission de données personnelles aux fournisseurs au-delà du strict nécessaire (consultation anonymisée si possible) ;
• revoir périodiquement les contrats et leurs clauses RGPD.</t>
  </si>
  <si>
    <t>Synthèse de l'effet des mesures sur l'écosystème</t>
  </si>
  <si>
    <t>Les mesures listées ci-dessus visent à ramener la dangerosité de l'ensemble des parties prenantes sous le seuil de 1,0 (milieu de la zone de contrôle), conformément à une politique de gestion conservatrice des relations avec l'écosystème. Aucune partie prenante n'est en zone de danger (≥ 2,5) dans la situation initiale, ce qui s'explique par le caractère auto-hébergé d'UniCampus+ et l'absence d'infogérance critique. Le risque résiduel principal reste interne (couvert à l'atelier 5) et non écosystémique.</t>
  </si>
  <si>
    <t>A4.0 - Échelle de vraisemblance des scénarios opérationnels</t>
  </si>
  <si>
    <t>Échelle de vraisemblance V1 à V4 issue du guide ANSSI EBIOS RM (p.66) et de la slide 46 du cours. Cette échelle évalue la probabilité de succès ou la faisabilité d'un scénario opérationnel, en confrontant les ressources et la motivation présumées de la source de risque d'une part, et le socle de sécurité et le niveau de vulnérabilité de l'objet étudié d'autre part. La vraisemblance est évaluée directement (méthode expresse ANSSI) pour chacun des 6 scénarios opérationnels de A4.1.</t>
  </si>
  <si>
    <t>Échelle V1 à V4</t>
  </si>
  <si>
    <t>V1</t>
  </si>
  <si>
    <t>Peu vraisemblable</t>
  </si>
  <si>
    <t>La source de risque a peu de chance d'atteindre son objectif visé selon l'un des modes opératoires envisagés. La vraisemblance du scénario est faible.</t>
  </si>
  <si>
    <t>V2</t>
  </si>
  <si>
    <t>Vraisemblable</t>
  </si>
  <si>
    <t>La source de risque est susceptible d'atteindre son objectif visé selon l'un des modes opératoires envisagés. La vraisemblance du scénario est significative.</t>
  </si>
  <si>
    <t>V3</t>
  </si>
  <si>
    <t>Très vraisemblable</t>
  </si>
  <si>
    <t>La source de risque va probablement atteindre son objectif visé selon l'un des modes opératoires envisagés. La vraisemblance du scénario est élevée.</t>
  </si>
  <si>
    <t>V4</t>
  </si>
  <si>
    <t>Certain ou déjà produit</t>
  </si>
  <si>
    <t>La source de risque va certainement atteindre son objectif visé selon l'un des modes opératoires envisagés OU un tel scénario s'est déjà produit au sein de l'organisation (historique d'incidents).</t>
  </si>
  <si>
    <t>A4.2 - Synthèse des scénarios opérationnels et de leur vraisemblance</t>
  </si>
  <si>
    <t>Tableau récapitulatif des 6 scénarios opérationnels (format inspiré de la slide 47 du cours et de la p.67 du guide ANSSI). Pour chaque scénario : la gravité héritée du scénario stratégique parent (A3.3), la vraisemblance globale évaluée en A4.1, et le couple (gravité, vraisemblance) qui sera utilisé en A5 pour positionner les risques sur la matrice de traitement.</t>
  </si>
  <si>
    <t>Récapitulatif gravité × vraisemblance</t>
  </si>
  <si>
    <t>Code SO</t>
  </si>
  <si>
    <t>Chemin d'attaque retenu (synthèse)</t>
  </si>
  <si>
    <t>Vraisemblance</t>
  </si>
  <si>
    <t>Niveau de risque (G × V)</t>
  </si>
  <si>
    <t>SO1</t>
  </si>
  <si>
    <t>C: Scan VLAN 192.168.107.0/24 depuis WiFi étudiant → R: Phishing ciblé d'un enseignant (pièce jointe piégée) → T: Connexion Moodle avec credentials enseignant → E: Modification des notes dans mdl_grade_*</t>
  </si>
  <si>
    <t>Modéré (9)</t>
  </si>
  <si>
    <t>SO2</t>
  </si>
  <si>
    <t>C: OSINT sur le personnel (LinkedIn, site web) → R: Phishing ciblé du personnel (pièce jointe macro) → T: Vol clé SSH en clair sur uc-poste-dsi (/home/.ssh/) → E: Chiffrement simultané Moodle / RH / Recherche / Mail</t>
  </si>
  <si>
    <t>Élevé (16)</t>
  </si>
  <si>
    <t>SO3</t>
  </si>
  <si>
    <t>C: Port scan externe (identification uc-web-rh) → R: Injection SQL sur uc-web-rh (login bypass) → T: Lecture directe uc-db-rh (écoute 0.0.0.0:3306) → E: Exfiltration base RH complète (500 personnels)</t>
  </si>
  <si>
    <t>Élevé (12)</t>
  </si>
  <si>
    <t>SO4</t>
  </si>
  <si>
    <t>C: Reconnaissance longue durée labos partenaires → R: Compromission labo partenaire PA1 (maillon faible) → T: Accès NFS/Samba partenaire (données partagées) → E: Exfiltration lente et discrète (low and slow)</t>
  </si>
  <si>
    <t>Modéré (6)</t>
  </si>
  <si>
    <t>SO5</t>
  </si>
  <si>
    <t>C: Connaissance interne du SI RH (personnel actif/ex) → R: Compte légitime actif → T: Navigation directe uc-web-rh (credentials valides) → E: Modification RIB de versement (détournement)</t>
  </si>
  <si>
    <t>SO6</t>
  </si>
  <si>
    <t>C: Connaissance interne du SI (personnel mécontent) → R: Compte légitime actif → T: Accès direct serveurs avec privilèges utilisateur → E: Suppression données critiques (RH, recherche)</t>
  </si>
  <si>
    <t>A5.0 - Matrice de risque et classes d'acceptation</t>
  </si>
  <si>
    <t>Cette matrice 4×4 croise la gravité (G1 à G4) issue de A1.3 avec la vraisemblance (V1 à V4) issue de A4.0. Le niveau de risque correspondant est calculé par le produit G × V. Trois classes d'acceptabilité ANSSI (p.74 du guide) déterminent la stratégie de traitement : Faible (acceptable en l'état), Moyen (tolérable sous contrôle), Élevé (inacceptable). La matrice ci-dessous sert de référence pour positionner les 6 risques R01-R06 d'UniCampus+ (cartographies en A5.1).</t>
  </si>
  <si>
    <t>Matrice gravité × vraisemblance (niveau de risque = G × V)</t>
  </si>
  <si>
    <t>G \ V</t>
  </si>
  <si>
    <t>G4 - Critique</t>
  </si>
  <si>
    <t>4 (Faible)</t>
  </si>
  <si>
    <t>8 (Moyen)</t>
  </si>
  <si>
    <t>12 (Élevé)</t>
  </si>
  <si>
    <t>16 (Élevé)</t>
  </si>
  <si>
    <t>Incapacité d'assurer la mission, survie menacée</t>
  </si>
  <si>
    <t>G3 - Grave</t>
  </si>
  <si>
    <t>3 (Faible)</t>
  </si>
  <si>
    <t>6 (Moyen)</t>
  </si>
  <si>
    <t>9 (Moyen)</t>
  </si>
  <si>
    <t>Forte dégradation, surmonté avec sérieuses difficultés</t>
  </si>
  <si>
    <t>G2 - Significative</t>
  </si>
  <si>
    <t>2 (Faible)</t>
  </si>
  <si>
    <t>Dégradation, surmonté avec quelques difficultés</t>
  </si>
  <si>
    <t>G1 - Mineure</t>
  </si>
  <si>
    <t>1 (Faible)</t>
  </si>
  <si>
    <t>Aucun impact significatif</t>
  </si>
  <si>
    <t>Classes d'acceptabilité du risque (ANSSI p.74)</t>
  </si>
  <si>
    <t>Score G × V</t>
  </si>
  <si>
    <t>Acceptabilité</t>
  </si>
  <si>
    <t>Actions à mener</t>
  </si>
  <si>
    <t>Faible</t>
  </si>
  <si>
    <t>≤ 4</t>
  </si>
  <si>
    <t>Acceptable en l'état</t>
  </si>
  <si>
    <t>Accepter</t>
  </si>
  <si>
    <t>Aucune action n'est à entreprendre</t>
  </si>
  <si>
    <t>Moyen</t>
  </si>
  <si>
    <t>Orange</t>
  </si>
  <si>
    <t>5 à 9</t>
  </si>
  <si>
    <t>Tolérable sous contrôle</t>
  </si>
  <si>
    <t>Réduire / Surveiller</t>
  </si>
  <si>
    <t>Un suivi en termes de gestion du risque est à mener et des actions sont à mettre en place dans le cadre d'une amélioration continue</t>
  </si>
  <si>
    <t>Élevé</t>
  </si>
  <si>
    <t>≥ 10</t>
  </si>
  <si>
    <t>Inacceptable</t>
  </si>
  <si>
    <t>Réduire impérativement</t>
  </si>
  <si>
    <t>Des mesures de réduction du risque doivent impérativement être prises à court terme. Dans le cas contraire, tout ou partie de l'activité sera refusé</t>
  </si>
  <si>
    <t>A5.1 - Cartographies du risque initial et résiduel</t>
  </si>
  <si>
    <t>Les 6 risques R01-R06 (un par scénario opérationnel d'A4) sont positionnés sur la matrice gravité × vraisemblance avant traitement (cartographie initiale) et après application complète des mesures du plan de traitement A5.3 (cartographie résiduelle). Le déplacement des risques vers la zone Faible (verte) démontre l'efficacité du plan. Format inspiré des slides 49-50 du cours.</t>
  </si>
  <si>
    <t>Tableau comparatif des 6 risques (initial vs résiduel)</t>
  </si>
  <si>
    <t>Code</t>
  </si>
  <si>
    <t>Libellé du risque</t>
  </si>
  <si>
    <t>G initial</t>
  </si>
  <si>
    <t>V initial</t>
  </si>
  <si>
    <t>Niveau initial</t>
  </si>
  <si>
    <t>G résiduel</t>
  </si>
  <si>
    <t>V résiduel</t>
  </si>
  <si>
    <t>Niveau résiduel</t>
  </si>
  <si>
    <t>R01</t>
  </si>
  <si>
    <t>Compromission des résultats académiques par un étudiant</t>
  </si>
  <si>
    <t>Moyen (9)</t>
  </si>
  <si>
    <t>Moyen (6)</t>
  </si>
  <si>
    <t>R02</t>
  </si>
  <si>
    <t>Paralysie de l'établissement par rançongiciel</t>
  </si>
  <si>
    <t>R03</t>
  </si>
  <si>
    <t>Exfiltration et revente des données personnelles</t>
  </si>
  <si>
    <t>Moyen (8)</t>
  </si>
  <si>
    <t>R04</t>
  </si>
  <si>
    <t>Exfiltration du patrimoine scientifique par un acteur étatique</t>
  </si>
  <si>
    <t>Faible (3)</t>
  </si>
  <si>
    <t>R05</t>
  </si>
  <si>
    <t>Détournement de la paie par un personnel</t>
  </si>
  <si>
    <t>R06</t>
  </si>
  <si>
    <t>Destruction de données par vengeance</t>
  </si>
  <si>
    <t>Faible (2)</t>
  </si>
  <si>
    <t>Cartographies visuelles (initial vs résiduel)</t>
  </si>
  <si>
    <t>A5.2 - Stratégie de traitement du risque</t>
  </si>
  <si>
    <t>Pour chaque risque, la stratégie de traitement formalise la décision d'acceptation et l'objectif de réduction. Quatre options possibles selon le guide ANSSI : RÉDUIRE (mettre en place des mesures), TRANSFÉRER (vers un tiers : assurance, prestataire), ACCEPTER (sans action particulière), REFUSER (supprimer l'activité concernée). Pour UniCampus+, vu la nature des risques (impacts opérationnels et réputationnels critiques) et l'absence d'alternative au système d'information, la stratégie retenue est RÉDUIRE pour les 6 risques, avec des objectifs de réduction différenciés.</t>
  </si>
  <si>
    <t>Stratégie de traitement par risque</t>
  </si>
  <si>
    <t>Stratégie retenue</t>
  </si>
  <si>
    <t>Niveau cible</t>
  </si>
  <si>
    <t>Justification et objectif de réduction</t>
  </si>
  <si>
    <t>Réduire</t>
  </si>
  <si>
    <t>Risque critique pour la réputation académique. Cible : ramener la vraisemblance à V2 par cloisonnement réseau, MFA enseignants et logs sur Moodle.</t>
  </si>
  <si>
    <t>Risque le plus grave (G4 V4 = Élevé). Cible : réduire gravité à G3 grâce aux sauvegardes immuables et réduire vraisemblance à V2 par durcissement complet (suppression NOPASSWD, MFA, sensibilisation).</t>
  </si>
  <si>
    <t>Risque critique pour la conformité RGPD (G4 V3 = Élevé). Cible : maintenir gravité G4 (donnée exposée = perdue) mais réduire vraisemblance à V2 par chiffrement, hash bcrypt, WAF, et cloisonnement BDD.</t>
  </si>
  <si>
    <t>Risque sur le patrimoine scientifique. Cible : réduire vraisemblance à V1 par DLP, cloisonnement recherche, audit des partenaires (mesure A3.4).</t>
  </si>
  <si>
    <t>Risque interne sur la chaîne RH. Cible : réduire vraisemblance à V1 par MFA, séparation des tâches, journalisation des modifications sensibles, révocation des comptes.</t>
  </si>
  <si>
    <t>Risque interne. Cible : réduire à la fois gravité à G2 (réversibilité grâce aux sauvegardes immuables) et vraisemblance à V1 (révocation des comptes, journalisation immuable).</t>
  </si>
  <si>
    <t>A5.3 - Plan de traitement du risque</t>
  </si>
  <si>
    <t>Plan de traitement complet des risques selon le format ANSSI p.77, structuré en 4 catégories : GOUVERNANCE, PROTECTION, DÉFENSE, RÉSILIENCE. Chaque mesure comporte : code, libellé, risques associés, responsable, freins de mise en œuvre, coût/complexité, charge estimée, échéance, priorité et statut.  Certaines des mesures pourrons être implémenté dans la maquette V2 tandis que d'autres (notamment d'ordre gouvernance) ne peuvent pas.</t>
  </si>
  <si>
    <t>Plan de traitement du risque (26 mesures)</t>
  </si>
  <si>
    <t>Mesure de sécurité</t>
  </si>
  <si>
    <t>Risque(s) associé(s)</t>
  </si>
  <si>
    <t>Freins et difficultés</t>
  </si>
  <si>
    <t>Coût</t>
  </si>
  <si>
    <t>Charge estimée</t>
  </si>
  <si>
    <t>Échéance</t>
  </si>
  <si>
    <t>Priorité</t>
  </si>
  <si>
    <t>Statut</t>
  </si>
  <si>
    <t xml:space="preserve">  GOUVERNANCE</t>
  </si>
  <si>
    <t>M01</t>
  </si>
  <si>
    <t>Définition et publication d'une PSSI (Politique de Sécurité des Systèmes d'Information) incluant la politique de mots de passe (longueur minimale 12 caractères, complexité, rotation 12 mois) et la politique de gestion des comptes</t>
  </si>
  <si>
    <t>R02, R03, R05</t>
  </si>
  <si>
    <t>RSSI / Direction</t>
  </si>
  <si>
    <t>Adoption par les utilisateurs, formation nécessaire</t>
  </si>
  <si>
    <t>+</t>
  </si>
  <si>
    <t>10 j/h</t>
  </si>
  <si>
    <t>T0+3 mois</t>
  </si>
  <si>
    <t>P1</t>
  </si>
  <si>
    <t>À lancer</t>
  </si>
  <si>
    <t>M02</t>
  </si>
  <si>
    <t>Procédure formalisée de gestion du cycle de vie des comptes : création, modification, révocation automatique au départ du personnel, revue trimestrielle des comptes actifs</t>
  </si>
  <si>
    <t>R05, R06</t>
  </si>
  <si>
    <t>DRH / DSI</t>
  </si>
  <si>
    <t>Coordination entre DRH et DSI nécessaire</t>
  </si>
  <si>
    <t>8 j/h</t>
  </si>
  <si>
    <t>M03</t>
  </si>
  <si>
    <t>Charte d'usage du système d'information signée par chaque étudiant et personnel (à l'inscription et à la prise de poste), rappelant les obligations et sanctions</t>
  </si>
  <si>
    <t>R01, R05, R06</t>
  </si>
  <si>
    <t>Lourdeur administrative</t>
  </si>
  <si>
    <t>5 j/h</t>
  </si>
  <si>
    <t>P2</t>
  </si>
  <si>
    <t>M04</t>
  </si>
  <si>
    <t>Élaboration et test du Plan de Continuité d'Activité (PCA) et du Plan de Reprise d'Activité (PRA) couvrant les services critiques (Moodle, RH, recherche)</t>
  </si>
  <si>
    <t>R02, R06</t>
  </si>
  <si>
    <t>Coordination de toutes les directions, exercices coûteux</t>
  </si>
  <si>
    <t>++</t>
  </si>
  <si>
    <t>30 j/h</t>
  </si>
  <si>
    <t>T0+12 mois</t>
  </si>
  <si>
    <t>M05</t>
  </si>
  <si>
    <t>Programme de sensibilisation cyber : campagne de phishing simulé trimestrielle, formations e-learning obligatoires, communications régulières</t>
  </si>
  <si>
    <t>R02, R03</t>
  </si>
  <si>
    <t>RSSI</t>
  </si>
  <si>
    <t>Engagement des utilisateurs, budget annuel récurrent</t>
  </si>
  <si>
    <t>Récurrente</t>
  </si>
  <si>
    <t>T0+3 mois puis continu</t>
  </si>
  <si>
    <t>M06</t>
  </si>
  <si>
    <t>Inclusion de clauses cyber dans les contrats des prestataires (RGPD, notification d'incident &lt; 72 h, audit de sécurité périodique, droit d'audit) — cf. mesure A3.4 pour PR1</t>
  </si>
  <si>
    <t>R02, R03, R04</t>
  </si>
  <si>
    <t>RSSI / Direction Juridique</t>
  </si>
  <si>
    <t>Renégociation des contrats existants, résistance des prestataires</t>
  </si>
  <si>
    <t>15 j/h</t>
  </si>
  <si>
    <t>T0+6 mois</t>
  </si>
  <si>
    <t xml:space="preserve">  PROTECTION</t>
  </si>
  <si>
    <t>M07</t>
  </si>
  <si>
    <t>Cloisonnement réseau : création de VLANs séparés pour étudiants (WiFi, salles info), personnel administratif, recherche, DSI/infrastructure, et DMZ publique — pare-feu entre les VLANs</t>
  </si>
  <si>
    <t>R01, R02, R03, R04</t>
  </si>
  <si>
    <t>Reconfiguration réseau lourde, interruptions de service</t>
  </si>
  <si>
    <t>20 j/h</t>
  </si>
  <si>
    <t>M08</t>
  </si>
  <si>
    <t>Suppression du bind LDAP anonyme et activation de LDAPS (TLS) sur uc-srv-ldap ; ACLs strictes par compte et fonction</t>
  </si>
  <si>
    <t>R01, R03</t>
  </si>
  <si>
    <t>Mise à jour des applications clientes LDAP</t>
  </si>
  <si>
    <t>M09</t>
  </si>
  <si>
    <t>Migration des hashs SHA1 sans sel de uc-db-rh vers bcrypt (coût 12) ou argon2id ; renouvellement forcé des mots de passe des comptes affectés</t>
  </si>
  <si>
    <t>Renouvellement des mots de passe à orchestrer</t>
  </si>
  <si>
    <t>M10</t>
  </si>
  <si>
    <t>Suppression de sudo NOPASSWD sur uc-poste-dsi ; configuration sudo avec mot de passe, journalisation systématique via auditd</t>
  </si>
  <si>
    <t>Adaptation des scripts d'administration</t>
  </si>
  <si>
    <t>3 j/h</t>
  </si>
  <si>
    <t>M11</t>
  </si>
  <si>
    <t>Activation HTTPS/TLS systématique sur toutes les applications web (Moodle, RH, etc.) via Let's Encrypt ou PKI interne ; redirection HTTP → HTTPS</t>
  </si>
  <si>
    <t>R03, R05</t>
  </si>
  <si>
    <t>Gestion des certificats, mise à jour des liens internes</t>
  </si>
  <si>
    <t>M12</t>
  </si>
  <si>
    <t>Restriction de l'écoute de uc-db-rh sur 127.0.0.1 (binding local) ou réseau RH uniquement ; suppression de l'écoute 0.0.0.0:3306</t>
  </si>
  <si>
    <t>1 j/h</t>
  </si>
  <si>
    <t>M13</t>
  </si>
  <si>
    <t>Remplacement du VPN PPTP legacy (MPPE-128 RC4 déprécié) par WireGuard ou OpenVPN avec authentification par certificats X.509</t>
  </si>
  <si>
    <t>Distribution des certificats aux personnels distants</t>
  </si>
  <si>
    <t>M14</t>
  </si>
  <si>
    <t>Suppression du compte VPN partagé (campus / unicampus2024) ; création de comptes individuels avec rotation des credentials et révocation à la sortie</t>
  </si>
  <si>
    <t>Création de comptes individuels en volume</t>
  </si>
  <si>
    <t>M15</t>
  </si>
  <si>
    <t>Mise en place d'une authentification multifacteur (MFA) sur les applications critiques : Moodle (enseignants/admins), uc-web-rh, accès VPN, comptes administrateurs</t>
  </si>
  <si>
    <t>R01, R02, R03, R05</t>
  </si>
  <si>
    <t>DSI / RSSI</t>
  </si>
  <si>
    <t>Adoption utilisateurs, gestion des tokens</t>
  </si>
  <si>
    <t>M16</t>
  </si>
  <si>
    <t>Installation d'un WAF (Web Application Firewall) devant uc-web-moodle et uc-web-rh avec règles OWASP CRS, protection contre injections SQL, XSS, brute-force</t>
  </si>
  <si>
    <t>Ajustement des règles pour éviter les faux positifs</t>
  </si>
  <si>
    <t>T0+9 mois</t>
  </si>
  <si>
    <t xml:space="preserve">  DÉFENSE</t>
  </si>
  <si>
    <t>M17</t>
  </si>
  <si>
    <t>Mise en place d'un système de logs centralisés (rsyslog + Graylog ou ELK) collectant les journaux de tous les serveurs, applications, équipements réseau ; rétention 12 mois minimum, conservation immuable</t>
  </si>
  <si>
    <t>Tous</t>
  </si>
  <si>
    <t>Volume de logs important, stockage à provisionner</t>
  </si>
  <si>
    <t>M18</t>
  </si>
  <si>
    <t>Déploiement d'une sonde IDS/IPS (Suricata) en bordure DMZ et entre VLANs, avec règles Emerging Threats à jour</t>
  </si>
  <si>
    <t>Maintenance des règles, ajustements</t>
  </si>
  <si>
    <t>M19</t>
  </si>
  <si>
    <t>Mise en place d'un SIEM (Wazuh ou équivalent) pour la corrélation des événements, la détection d'anomalies et l'alerte temps réel ; définition de cas d'usage prioritaires</t>
  </si>
  <si>
    <t>Compétences nécessaires pour configurer les règles</t>
  </si>
  <si>
    <t>+++</t>
  </si>
  <si>
    <t>M20</t>
  </si>
  <si>
    <t>Sonde DLP (Data Loss Prevention) sur les flux sortants pour détecter les exfiltrations de fichiers de recherche en volume</t>
  </si>
  <si>
    <t>R03, R04</t>
  </si>
  <si>
    <t>Définition des règles DLP, faux positifs</t>
  </si>
  <si>
    <t>T0+18 mois</t>
  </si>
  <si>
    <t>P3</t>
  </si>
  <si>
    <t>M21</t>
  </si>
  <si>
    <t>Déploiement d'un EDR (Endpoint Detection and Response) sur les postes de la DSI et du personnel administratif, extension progressive aux postes étudiants</t>
  </si>
  <si>
    <t>Licences EDR, impact performance</t>
  </si>
  <si>
    <t xml:space="preserve">  RÉSILIENCE</t>
  </si>
  <si>
    <t>M22</t>
  </si>
  <si>
    <t>Mise en place de sauvegardes immuables : snapshots LVM read-only, externalisation vers stockage S3-compatible avec Object Lock, sauvegardes 3-2-1, rétention différentielle 30/90/365 jours</t>
  </si>
  <si>
    <t>Stockage à provisionner, bande passante</t>
  </si>
  <si>
    <t>M23</t>
  </si>
  <si>
    <t>Tests de restauration semestriels documentés sur un échantillon représentatif (Moodle, RH, recherche) ; validation du RTO et du RPO contractuels</t>
  </si>
  <si>
    <t>Mobilisation des équipes pour les tests</t>
  </si>
  <si>
    <t>10 j/h / semestre</t>
  </si>
  <si>
    <t>T0+9 mois puis continu</t>
  </si>
  <si>
    <t>M24</t>
  </si>
  <si>
    <t>Snapshots automatiques quotidiens des VMs critiques au niveau hyperviseur, rétention 7 jours en local, 30 jours hors-site</t>
  </si>
  <si>
    <t>Stockage à provisionner</t>
  </si>
  <si>
    <t>M25</t>
  </si>
  <si>
    <t>Mise en haute disponibilité (HA) des services critiques : LDAP (réplication maître-maître), base de données (réplication ou cluster), serveurs DNS internes</t>
  </si>
  <si>
    <t>Complexité opérationnelle, double infrastructure</t>
  </si>
  <si>
    <t>M26</t>
  </si>
  <si>
    <t>Procédure de réponse à incident (PRI) formalisée et testée : équipe de réponse, playbooks par type d'incident (rançongiciel, intrusion, fuite de données), communication de crise</t>
  </si>
  <si>
    <t>Exercices de gestion de crise à organiser</t>
  </si>
  <si>
    <t>Statistiques du plan de traitement</t>
  </si>
  <si>
    <t>Nombre total de mesures : 26</t>
  </si>
  <si>
    <t>Mesures implémentées dans la maquette v2 (échéance T0+6 mois max) : 10</t>
  </si>
  <si>
    <t>Mesures prioritaires P1 : 14</t>
  </si>
  <si>
    <t>Répartition par catégorie : GOUVERNANCE : 6, PROTECTION : 10, DÉFENSE : 5, RÉSILIENCE : 5</t>
  </si>
  <si>
    <t>A5.4 - Risques résiduels (fiches détaillées)</t>
  </si>
  <si>
    <t>Documentation des 6 risques résiduels RR01 à RR06 selon le modèle ANSSI p.78. Chaque fiche détaille : description du risque résiduel, vulnérabilités résiduelles persistantes après application des mesures, événements redoutés concernés, mesures de traitement appliquées, gravité/vraisemblance/niveau initial et résiduel, et modalités de suivi spécifique. Ces fiches constituent la base de la commission d'homologation et seront mises à jour selon le cycle de revue défini en A5.5.</t>
  </si>
  <si>
    <t>RR01 — Compromission des résultats académiques par un étudiant</t>
  </si>
  <si>
    <t>Description :</t>
  </si>
  <si>
    <t>Après application des mesures (cloisonnement réseau, MFA enseignants, logs centralisés, suppression du bind LDAP anonyme), la compromission directe des notes via énumération LDAP et phishing devient significativement plus difficile. Le risque résiduel persiste sous forme de tentatives de phishing ciblées d'enseignants et d'utilisation de credentials volés en cas de défaillance MFA.</t>
  </si>
  <si>
    <t>Vulnérabilités résiduelles :</t>
  </si>
  <si>
    <t>• Persistance possible de credentials volés en cas de phishing réussi malgré MFA
• Risque d'ingénierie sociale sur les enseignants restant exposés
• Erreurs humaines dans la gestion des sessions Moodle (sessions partagées)</t>
  </si>
  <si>
    <t>Événements redoutés concernés :</t>
  </si>
  <si>
    <t>Mesures de traitement appliquées :</t>
  </si>
  <si>
    <t>M07 Cloisonnement VLANs ; M08 LDAP anonyme + LDAPS ; M15 MFA ; M17 Logs centralisés ; M05 Sensibilisation phishing</t>
  </si>
  <si>
    <t>Estimation :</t>
  </si>
  <si>
    <t>Indicateur</t>
  </si>
  <si>
    <t>Initial</t>
  </si>
  <si>
    <t>Résiduel</t>
  </si>
  <si>
    <t>Réduction</t>
  </si>
  <si>
    <t>Aucune réduction</t>
  </si>
  <si>
    <t>−1</t>
  </si>
  <si>
    <t>Niveau de risque</t>
  </si>
  <si>
    <t>−3 (33 %)</t>
  </si>
  <si>
    <t>Suivi du risque résiduel :</t>
  </si>
  <si>
    <t>Indicateur : nombre de tentatives de phishing simulé détectées par les enseignants. Revue : trimestrielle.</t>
  </si>
  <si>
    <t>RR02 — Paralysie de l'établissement par rançongiciel</t>
  </si>
  <si>
    <t>Risque résiduel principal après mise en œuvre du plan complet. Les mesures (sauvegardes immuables, suppression sudo NOPASSWD, MFA, IDS/IPS, sensibilisation phishing) réduisent considérablement la probabilité de succès complet et la gravité (sauvegardes garantissant la reprise). Le risque résiduel porte sur une attaque partiellement réussie causant des perturbations temporaires.</t>
  </si>
  <si>
    <t>• Risque d'attaque 0-day non couverte par les signatures IDS/IPS
• Persistance possible d'attaques de phishing très ciblées (spear-phishing avancé)
• Durée de restauration depuis sauvegardes : RTO non encore validé
• Risque sur le périmètre étudiant non couvert par EDR</t>
  </si>
  <si>
    <t>M07 Cloisonnement ; M10 Suppression NOPASSWD ; M15 MFA ; M17 Logs centralisés ; M18 IDS/IPS ; M19 SIEM ; M21 EDR ; M22 Sauvegardes immuables ; M23 Tests restauration ; M05 Sensibilisation ; M26 Procédure de réponse à incident</t>
  </si>
  <si>
    <t>−2</t>
  </si>
  <si>
    <t>−10 (62 %)</t>
  </si>
  <si>
    <t>Indicateur : RTO mesuré lors des tests de restauration semestriels (cible &lt; 24h). Revue : semestrielle.</t>
  </si>
  <si>
    <t>RR03 — Exfiltration et revente des données personnelles</t>
  </si>
  <si>
    <t>Après mise en œuvre des mesures (HTTPS, hashs bcrypt, WAF, restriction BDD, MFA, DLP), la vraisemblance d'une exfiltration massive diminue. Néanmoins, la gravité reste élevée (G4) car toute donnée exfiltrée même en faible volume reste compromise définitivement et expose UniCampus+ aux obligations RGPD (notification CNIL sous 72 h, sanctions financières).</t>
  </si>
  <si>
    <t>• Risque persistant d'exfiltration ciblée de petits volumes
• Faux positifs DLP pouvant masquer de réelles exfiltrations
• Risque sur les sauvegardes externalisées si compromises
• Risque sur les exports légitimes (vers ministère, partenaires)</t>
  </si>
  <si>
    <t>M07 Cloisonnement ; M09 Hashs bcrypt ; M11 HTTPS/TLS ; M12 Restriction BDD ; M15 MFA ; M16 WAF ; M17 Logs centralisés ; M20 DLP ; M01 PSSI</t>
  </si>
  <si>
    <t>−4 (33 %)</t>
  </si>
  <si>
    <t>Indicateur : nombre d'alertes DLP et taux de faux positifs. Revue : trimestrielle. Coordination avec DPO.</t>
  </si>
  <si>
    <t>RR04 — Exfiltration du patrimoine scientifique par un acteur étatique</t>
  </si>
  <si>
    <t>Le risque résiduel est faible après application des mesures (cloisonnement recherche, DLP, audit des partenaires, clauses cyber dans les contrats). Néanmoins, la nature APT de la source (ressources illimitées, persistance) implique une vigilance continue. Le risque résiduel se concentre sur les vecteurs par rebond (partenaires moins matures).</t>
  </si>
  <si>
    <t>• Maturité cyber hétérogène des partenaires malgré les audits
• Risque persistant via doctorants en thèse partagée
• Risque de canal légitime utilisé pour l'exfiltration (mail externe vers comptes personnels)</t>
  </si>
  <si>
    <t>M07 Cloisonnement ; M17 Logs centralisés ; M19 SIEM ; M20 DLP ; M06 Clauses cyber prestataires ; Mesures A3.4 écosystème</t>
  </si>
  <si>
    <t>−3 (50 %)</t>
  </si>
  <si>
    <t>Indicateur : nombre d'incidents signalés par les partenaires, résultats des audits annuels. Revue : annuelle, coordination directeur recherche.</t>
  </si>
  <si>
    <t>RR05 — Détournement de la paie par un personnel</t>
  </si>
  <si>
    <t>Après mise en œuvre des mesures (MFA, journalisation des modifications RH, séparation des tâches, validation à 4 yeux sur les RIB), le risque résiduel devient faible. Le risque persistant porte sur la collusion entre personnels et sur les contournements organisationnels.</t>
  </si>
  <si>
    <t>• Risque de collusion entre deux personnels ayant des droits différents
• Risque social engineering du support DSI pour reset de mot de passe
• Risque sur les comptes temporaires (CDD, stagiaires)</t>
  </si>
  <si>
    <t>M02 Révocation comptes ; M09 Hashs bcrypt ; M11 HTTPS ; M12 Restriction BDD ; M15 MFA ; M17 Logs centralisés ; M01 PSSI</t>
  </si>
  <si>
    <t>Indicateur : revue trimestrielle des comptes RH actifs, audit annuel des modifications de RIB. Revue : trimestrielle.</t>
  </si>
  <si>
    <t>RR06 — Destruction de données par vengeance</t>
  </si>
  <si>
    <t>Après mise en œuvre des mesures (sauvegardes immuables, révocation comptes, journalisation), la gravité passe à G2 grâce à la réversibilité (sauvegardes) et la vraisemblance à V1 (révocation stricte au départ + logs). Le risque résiduel est faible mais subsiste pour les actes commis pendant la période d'emploi actif avant détection.</t>
  </si>
  <si>
    <t>• Délai de détection entre l'acte et son investigation (durant emploi actif)
• Risque sur les données non couvertes par les sauvegardes immuables
• Risque persistant sur les comptes très privilégiés (admin DSI)</t>
  </si>
  <si>
    <t>M02 Révocation comptes ; M10 Suppression NOPASSWD ; M14 Comptes individuels VPN ; M17 Logs centralisés (immuables) ; M22 Sauvegardes immuables ; M24 Snapshots automatiques</t>
  </si>
  <si>
    <t>−4 (67 %)</t>
  </si>
  <si>
    <t>Indicateur : délai moyen de révocation après départ (cible &lt; 24h), nombre d'alertes sur comptes admin. Revue : trimestrielle.</t>
  </si>
  <si>
    <t>A5.5 - Cadre de suivi et de surveillance des risques</t>
  </si>
  <si>
    <t>Définition du cadre de gouvernance pour le maintien en condition de sécurité (cf. guide ANSSI p.81-82). Ce cadre comprend les indicateurs de pilotage, l'organisation des comités de revue, et les mécanismes de surveillance qui permettent l'amélioration continue. Il vient compléter le plan de traitement A5.3 en garantissant son suivi dans le temps.</t>
  </si>
  <si>
    <t>Indicateurs de pilotage par catégorie</t>
  </si>
  <si>
    <t>Fréquence</t>
  </si>
  <si>
    <t>Cible et seuil d'alerte</t>
  </si>
  <si>
    <t>Gouvernance</t>
  </si>
  <si>
    <t>Taux de tenue des comités de pilotage prévus</t>
  </si>
  <si>
    <t>Mensuelle</t>
  </si>
  <si>
    <t>Cible : 100 %. Alerte : &lt; 80 %.</t>
  </si>
  <si>
    <t>Pourcentage de mesures du plan en statut « Terminée »</t>
  </si>
  <si>
    <t>Cible : 100 % à T0+24 mois. Alerte : retard &gt; 3 mois.</t>
  </si>
  <si>
    <t>Budget consommé vs alloué par mesure</t>
  </si>
  <si>
    <t>Trimestrielle</t>
  </si>
  <si>
    <t>Alerte : &gt; 110 % du budget initial.</t>
  </si>
  <si>
    <t>Protection</t>
  </si>
  <si>
    <t>Taux de comptes administrateurs avec MFA actif</t>
  </si>
  <si>
    <t>Cible : 100 %. Alerte : &lt; 95 %.</t>
  </si>
  <si>
    <t>Taux de comptes utilisateurs avec MFA actif</t>
  </si>
  <si>
    <t>Cible : 80 % à T0+12 mois. Alerte : &lt; 50 %.</t>
  </si>
  <si>
    <t>Pourcentage de hashs SHA1 résiduels dans uc-db-rh</t>
  </si>
  <si>
    <t>Cible : 0 %. Alerte : &gt; 5 %.</t>
  </si>
  <si>
    <t>Nombre de bind LDAP anonymes encore détectés</t>
  </si>
  <si>
    <t>Cible : 0. Alerte : &gt; 0.</t>
  </si>
  <si>
    <t>Défense</t>
  </si>
  <si>
    <t>Nombre d'alertes SIEM / mois (volumétrie)</t>
  </si>
  <si>
    <t>Suivi de tendance. Alerte : variation &gt; 50 %.</t>
  </si>
  <si>
    <t>Temps moyen de détection d'un incident (MTTD)</t>
  </si>
  <si>
    <t>Cible : &lt; 4 heures pour incident critique.</t>
  </si>
  <si>
    <t>Pourcentage de logs collectés par rapport au périmètre</t>
  </si>
  <si>
    <t>Cible : 100 %. Alerte : &lt; 90 %.</t>
  </si>
  <si>
    <t>Nombre de campagnes de phishing simulées et taux de clic</t>
  </si>
  <si>
    <t>Cible : taux de clic &lt; 5 %. Alerte : &gt; 15 %.</t>
  </si>
  <si>
    <t>Résilience</t>
  </si>
  <si>
    <t>Succès des tests de restauration (RTO mesuré)</t>
  </si>
  <si>
    <t>Semestrielle</t>
  </si>
  <si>
    <t>Cible RTO : &lt; 24 h pour services critiques. Alerte : &gt; 48 h.</t>
  </si>
  <si>
    <t>Vérification d'intégrité des sauvegardes immuables</t>
  </si>
  <si>
    <t>Hebdomadaire</t>
  </si>
  <si>
    <t>Cible : 100 % des sauvegardes vérifiées. Alerte : échec &gt; 1 par mois.</t>
  </si>
  <si>
    <t>Délai de révocation des comptes après départ</t>
  </si>
  <si>
    <t>Cible : &lt; 24 h. Alerte : &gt; 72 h.</t>
  </si>
  <si>
    <t>Organisation des comités et cycle de revue</t>
  </si>
  <si>
    <t>Instance</t>
  </si>
  <si>
    <t>Composition</t>
  </si>
  <si>
    <t>Objet et livrables</t>
  </si>
  <si>
    <t>Comité de pilotage SSI (COPIL)</t>
  </si>
  <si>
    <t>Direction, RSSI, DSI, représentant Métiers</t>
  </si>
  <si>
    <t>Trimestrielle (T0+3, T0+6, T0+9 mois) puis semestrielle en croisière</t>
  </si>
  <si>
    <t>Pilotage stratégique du plan de traitement, validation des arbitrages, présentation de l'avancement à la Direction, validation des évolutions de risque.</t>
  </si>
  <si>
    <t>Comité opérationnel SSI</t>
  </si>
  <si>
    <t>RSSI, DSI, équipe sécurité opérationnelle</t>
  </si>
  <si>
    <t>Suivi opérationnel des mesures, des indicateurs, des incidents, des nouvelles vulnérabilités, des écarts au plan.</t>
  </si>
  <si>
    <t>Revue annuelle des risques</t>
  </si>
  <si>
    <t>Direction, RSSI, DSI, DPO, Direction Juridique, représentants Métiers</t>
  </si>
  <si>
    <t>Annuelle (cycle stratégique)</t>
  </si>
  <si>
    <t>Révision complète de l'analyse de risque : missions, scénarios, écosystème. Décision de mise à jour de l'étude EBIOS RM si nécessaire.</t>
  </si>
  <si>
    <t>Commission d'homologation</t>
  </si>
  <si>
    <t>Direction, RSSI, DSI, DPO, autorité d'homologation</t>
  </si>
  <si>
    <t>Tous les 3 ans ou en cas d'évolution majeure</t>
  </si>
  <si>
    <t>Décision formelle d'homologation du SI, validation de l'acceptabilité des risques résiduels.</t>
  </si>
  <si>
    <t>Déclencheurs de mise à jour de l'analyse de risque</t>
  </si>
  <si>
    <t>Déclencheur</t>
  </si>
  <si>
    <t>Responsable veille</t>
  </si>
  <si>
    <t>Action déclenchée</t>
  </si>
  <si>
    <t>Menace cyber</t>
  </si>
  <si>
    <t>Apparition d'une CVE majeure (CVSS ≥ 9) sur un bien support</t>
  </si>
  <si>
    <t>Évaluation immédiate de l'exposition, application du correctif sous 7 jours, revue du plan.</t>
  </si>
  <si>
    <t>Nouvelle vague d'attaques sectorielles (rançongiciels sur l'ESR)</t>
  </si>
  <si>
    <t>RSSI / CERT-FR</t>
  </si>
  <si>
    <t>Réévaluation de la vraisemblance des SO concernés, sensibilisation renforcée.</t>
  </si>
  <si>
    <t>Réglementation</t>
  </si>
  <si>
    <t>Évolution RGPD, directive NIS 2, exigences ANSSI</t>
  </si>
  <si>
    <t>DPO / Juridique</t>
  </si>
  <si>
    <t>Mise à jour des mesures organisationnelles, revue de la PSSI.</t>
  </si>
  <si>
    <t>Architecture</t>
  </si>
  <si>
    <t>Évolution majeure de l'architecture (nouveau service, migration)</t>
  </si>
  <si>
    <t>Mise à jour des biens supports A1.2, réévaluation des scénarios concernés.</t>
  </si>
  <si>
    <t>Écosystème</t>
  </si>
  <si>
    <t>Nouveau partenaire ou prestataire, changement de prestataire</t>
  </si>
  <si>
    <t>RSSI / Achats</t>
  </si>
  <si>
    <t>Mise à jour de la cartographie A3.2, audit cyber du nouvel acteur.</t>
  </si>
  <si>
    <t>Incident</t>
  </si>
  <si>
    <t>Incident de sécurité avéré (interne ou écosystème)</t>
  </si>
  <si>
    <t>Retour d'expérience, mise à jour des scénarios, ajustement des mesures.</t>
  </si>
  <si>
    <t>Cycle</t>
  </si>
  <si>
    <t>Échéance du cycle stratégique (1 an)</t>
  </si>
  <si>
    <t>Revue annuelle complète de l'analyse de risque.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</si>
</sst>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b/>
      <sz val="16"/>
      <color rgb="FFFFFFFF"/>
      <name val="Arial"/>
      <charset val="1"/>
    </font>
    <font>
      <b/>
      <sz val="13"/>
      <color rgb="FF1F4E78"/>
      <name val="Arial"/>
      <charset val="1"/>
    </font>
    <font>
      <b/>
      <sz val="12"/>
      <color rgb="FF1F4E78"/>
      <name val="Arial"/>
      <charset val="1"/>
    </font>
    <font>
      <i/>
      <sz val="10"/>
      <color rgb="FF595959"/>
      <name val="Arial"/>
      <charset val="1"/>
    </font>
    <font>
      <b/>
      <sz val="11"/>
      <color rgb="FFFFFFFF"/>
      <name val="Arial"/>
      <charset val="1"/>
    </font>
    <font>
      <b/>
      <sz val="11"/>
      <color rgb="FFFFFFFF"/>
      <name val="Arial"/>
      <family val="2"/>
      <charset val="1"/>
    </font>
    <font>
      <b/>
      <sz val="10"/>
      <name val="Arial"/>
      <charset val="1"/>
    </font>
    <font>
      <sz val="10"/>
      <name val="Arial"/>
      <family val="2"/>
      <charset val="1"/>
    </font>
    <font>
      <sz val="10"/>
      <name val="Arial"/>
      <charset val="1"/>
    </font>
    <font>
      <b/>
      <sz val="16"/>
      <color rgb="FFFFFFFF"/>
      <name val="Arial"/>
      <family val="2"/>
      <charset val="1"/>
    </font>
    <font>
      <b/>
      <sz val="10"/>
      <name val="Arial"/>
      <family val="2"/>
      <charset val="1"/>
    </font>
    <font>
      <sz val="11"/>
      <name val="Cambria"/>
      <charset val="1"/>
    </font>
    <font>
      <b/>
      <sz val="10"/>
      <color rgb="FFFFFFFF"/>
      <name val="Arial"/>
      <charset val="1"/>
    </font>
    <font>
      <sz val="10"/>
      <name val="Arial"/>
      <family val="2"/>
    </font>
    <font>
      <i/>
      <sz val="10"/>
      <color rgb="FF595959"/>
      <name val="Arial"/>
      <family val="2"/>
    </font>
    <font>
      <b/>
      <sz val="16"/>
      <color rgb="FFFFFFFF"/>
      <name val="Arial"/>
      <family val="2"/>
    </font>
    <font>
      <b/>
      <sz val="10"/>
      <name val="Arial"/>
      <family val="2"/>
    </font>
    <font>
      <b/>
      <sz val="16"/>
      <color rgb="FFFFFFFF"/>
      <name val="Arial"/>
    </font>
    <font>
      <i/>
      <sz val="10"/>
      <color rgb="FF595959"/>
      <name val="Arial"/>
    </font>
    <font>
      <b/>
      <sz val="12"/>
      <color rgb="FF1F4E78"/>
      <name val="Arial"/>
    </font>
    <font>
      <b/>
      <sz val="11"/>
      <color rgb="FFFFFFFF"/>
      <name val="Arial"/>
    </font>
    <font>
      <b/>
      <sz val="10"/>
      <name val="Arial"/>
    </font>
    <font>
      <sz val="10"/>
      <name val="Arial"/>
    </font>
    <font>
      <b/>
      <sz val="16"/>
      <color rgb="FFFFFFFF"/>
      <name val="Arial"/>
    </font>
    <font>
      <i/>
      <sz val="10"/>
      <color rgb="FF595959"/>
      <name val="Arial"/>
    </font>
    <font>
      <b/>
      <sz val="12"/>
      <color rgb="FF1F4E78"/>
      <name val="Arial"/>
    </font>
    <font>
      <b/>
      <sz val="11"/>
      <color rgb="FFFFFFFF"/>
      <name val="Arial"/>
    </font>
  </fonts>
  <fills count="26">
    <fill>
      <patternFill patternType="none"/>
    </fill>
    <fill>
      <patternFill patternType="gray125"/>
    </fill>
    <fill>
      <patternFill patternType="solid">
        <fgColor rgb="FF1F4E78"/>
        <bgColor rgb="FF003366"/>
      </patternFill>
    </fill>
    <fill>
      <patternFill patternType="solid">
        <fgColor rgb="FFD9E1F2"/>
        <bgColor rgb="FFEDEDED"/>
      </patternFill>
    </fill>
    <fill>
      <patternFill patternType="solid">
        <fgColor rgb="FFFFF2CC"/>
        <bgColor rgb="FFF2F2F2"/>
      </patternFill>
    </fill>
    <fill>
      <patternFill patternType="solid">
        <fgColor rgb="FFF2F2F2"/>
        <bgColor rgb="FFEDEDED"/>
      </patternFill>
    </fill>
    <fill>
      <patternFill patternType="solid">
        <fgColor rgb="FFFFC7CE"/>
        <bgColor rgb="FFFFD699"/>
      </patternFill>
    </fill>
    <fill>
      <patternFill patternType="solid">
        <fgColor rgb="FFFFD699"/>
        <bgColor rgb="FFFFEB9C"/>
      </patternFill>
    </fill>
    <fill>
      <patternFill patternType="solid">
        <fgColor rgb="FFFFEB9C"/>
        <bgColor rgb="FFFFD699"/>
      </patternFill>
    </fill>
    <fill>
      <patternFill patternType="solid">
        <fgColor rgb="FFC6EFCE"/>
        <bgColor rgb="FFD9E1F2"/>
      </patternFill>
    </fill>
    <fill>
      <patternFill patternType="solid">
        <fgColor rgb="FFEDEDED"/>
        <bgColor rgb="FFF2F2F2"/>
      </patternFill>
    </fill>
    <fill>
      <patternFill patternType="solid">
        <fgColor rgb="FF2E75B6"/>
        <bgColor rgb="FF0066CC"/>
      </patternFill>
    </fill>
    <fill>
      <patternFill patternType="solid">
        <fgColor rgb="FFB4C7E7"/>
        <bgColor rgb="FFBFBFBF"/>
      </patternFill>
    </fill>
    <fill>
      <patternFill patternType="solid">
        <fgColor rgb="FF5B9BD5"/>
        <bgColor rgb="FF2E75B6"/>
      </patternFill>
    </fill>
    <fill>
      <patternFill patternType="solid">
        <fgColor rgb="FF70AD47"/>
        <bgColor rgb="FF339966"/>
      </patternFill>
    </fill>
    <fill>
      <patternFill patternType="solid">
        <fgColor rgb="FF1F4E78"/>
      </patternFill>
    </fill>
    <fill>
      <patternFill patternType="solid">
        <fgColor rgb="FFFFF2CC"/>
      </patternFill>
    </fill>
    <fill>
      <patternFill patternType="solid">
        <fgColor rgb="FFD9E1F2"/>
      </patternFill>
    </fill>
    <fill>
      <patternFill patternType="solid">
        <fgColor rgb="FFC6EFCE"/>
      </patternFill>
    </fill>
    <fill>
      <patternFill patternType="solid">
        <fgColor rgb="FFFFEB9C"/>
      </patternFill>
    </fill>
    <fill>
      <patternFill patternType="solid">
        <fgColor rgb="FFFFD699"/>
      </patternFill>
    </fill>
    <fill>
      <patternFill patternType="solid">
        <fgColor rgb="FFFFC7CE"/>
      </patternFill>
    </fill>
    <fill>
      <patternFill patternType="solid">
        <fgColor rgb="FFF2F2F2"/>
      </patternFill>
    </fill>
    <fill>
      <patternFill patternType="solid">
        <fgColor rgb="FF1F4E78"/>
      </patternFill>
    </fill>
    <fill>
      <patternFill patternType="solid">
        <fgColor rgb="FFFFF2CC"/>
      </patternFill>
    </fill>
    <fill>
      <patternFill patternType="solid">
        <fgColor rgb="FFD9E1F2"/>
      </patternFill>
    </fill>
  </fills>
  <borders count="9">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1">
    <xf numFmtId="0" fontId="0" fillId="0" borderId="0" xfId="0"/>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49" fontId="8" fillId="0" borderId="2" xfId="0" applyNumberFormat="1" applyFont="1" applyBorder="1" applyAlignment="1">
      <alignment horizontal="left" vertical="top" wrapText="1"/>
    </xf>
    <xf numFmtId="0" fontId="7" fillId="5" borderId="2" xfId="0" applyFont="1" applyFill="1" applyBorder="1" applyAlignment="1">
      <alignment horizontal="center" vertical="center" wrapText="1"/>
    </xf>
    <xf numFmtId="0" fontId="9"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0" borderId="2" xfId="0" applyFont="1" applyBorder="1" applyAlignment="1">
      <alignment horizontal="center" vertical="center" wrapText="1"/>
    </xf>
    <xf numFmtId="0" fontId="9" fillId="5" borderId="2" xfId="0" applyFont="1" applyFill="1" applyBorder="1" applyAlignment="1">
      <alignment horizontal="center" vertical="center"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center" wrapText="1"/>
    </xf>
    <xf numFmtId="0" fontId="11" fillId="0" borderId="2" xfId="0" applyFont="1" applyBorder="1" applyAlignment="1">
      <alignment horizontal="left" vertical="top" wrapText="1"/>
    </xf>
    <xf numFmtId="0" fontId="11" fillId="5" borderId="2" xfId="0" applyFont="1" applyFill="1" applyBorder="1" applyAlignment="1">
      <alignment horizontal="left" vertical="top" wrapText="1"/>
    </xf>
    <xf numFmtId="0" fontId="7" fillId="6" borderId="2" xfId="0" applyFont="1" applyFill="1" applyBorder="1" applyAlignment="1">
      <alignment horizontal="center" vertical="center" wrapText="1"/>
    </xf>
    <xf numFmtId="0" fontId="7" fillId="6" borderId="2" xfId="0" applyFont="1" applyFill="1" applyBorder="1" applyAlignment="1">
      <alignment horizontal="left" vertical="top" wrapText="1"/>
    </xf>
    <xf numFmtId="0" fontId="9" fillId="6" borderId="2" xfId="0" applyFont="1" applyFill="1" applyBorder="1" applyAlignment="1">
      <alignment horizontal="left" vertical="top" wrapText="1"/>
    </xf>
    <xf numFmtId="0" fontId="7" fillId="7" borderId="2" xfId="0" applyFont="1" applyFill="1" applyBorder="1" applyAlignment="1">
      <alignment horizontal="center" vertical="center" wrapText="1"/>
    </xf>
    <xf numFmtId="0" fontId="7" fillId="7" borderId="2" xfId="0" applyFont="1" applyFill="1" applyBorder="1" applyAlignment="1">
      <alignment horizontal="left" vertical="top" wrapText="1"/>
    </xf>
    <xf numFmtId="0" fontId="9" fillId="7" borderId="2" xfId="0" applyFont="1" applyFill="1" applyBorder="1" applyAlignment="1">
      <alignment horizontal="left" vertical="top" wrapText="1"/>
    </xf>
    <xf numFmtId="0" fontId="7" fillId="8" borderId="2" xfId="0" applyFont="1" applyFill="1" applyBorder="1" applyAlignment="1">
      <alignment horizontal="center" vertical="center" wrapText="1"/>
    </xf>
    <xf numFmtId="0" fontId="7" fillId="8" borderId="2" xfId="0" applyFont="1" applyFill="1" applyBorder="1" applyAlignment="1">
      <alignment horizontal="left" vertical="top" wrapText="1"/>
    </xf>
    <xf numFmtId="0" fontId="9" fillId="8" borderId="2" xfId="0" applyFont="1" applyFill="1" applyBorder="1" applyAlignment="1">
      <alignment horizontal="left" vertical="top" wrapText="1"/>
    </xf>
    <xf numFmtId="0" fontId="7" fillId="9" borderId="2" xfId="0" applyFont="1" applyFill="1" applyBorder="1" applyAlignment="1">
      <alignment horizontal="center" vertical="center" wrapText="1"/>
    </xf>
    <xf numFmtId="0" fontId="7" fillId="9" borderId="2" xfId="0" applyFont="1" applyFill="1" applyBorder="1" applyAlignment="1">
      <alignment horizontal="left" vertical="top" wrapText="1"/>
    </xf>
    <xf numFmtId="0" fontId="9" fillId="9" borderId="2" xfId="0" applyFont="1" applyFill="1" applyBorder="1" applyAlignment="1">
      <alignment horizontal="left" vertical="top" wrapText="1"/>
    </xf>
    <xf numFmtId="0" fontId="12" fillId="0" borderId="0" xfId="0" applyFont="1"/>
    <xf numFmtId="0" fontId="7" fillId="0" borderId="2" xfId="0" applyFont="1" applyBorder="1" applyAlignment="1">
      <alignment horizontal="left" vertical="center" wrapText="1" indent="1"/>
    </xf>
    <xf numFmtId="0" fontId="7" fillId="10" borderId="2" xfId="0" applyFont="1" applyFill="1" applyBorder="1" applyAlignment="1">
      <alignment horizontal="left" vertical="center" wrapText="1" indent="1"/>
    </xf>
    <xf numFmtId="0" fontId="7" fillId="10" borderId="2" xfId="0" applyFont="1" applyFill="1" applyBorder="1" applyAlignment="1">
      <alignment horizontal="center" vertical="center" wrapText="1"/>
    </xf>
    <xf numFmtId="0" fontId="9" fillId="10" borderId="2" xfId="0" applyFont="1" applyFill="1" applyBorder="1" applyAlignment="1">
      <alignment horizontal="left" vertical="top" wrapText="1"/>
    </xf>
    <xf numFmtId="0" fontId="13" fillId="11" borderId="2" xfId="0" applyFont="1" applyFill="1" applyBorder="1" applyAlignment="1">
      <alignment horizontal="center" vertical="center" wrapText="1"/>
    </xf>
    <xf numFmtId="0" fontId="7" fillId="0" borderId="2" xfId="0" applyFont="1" applyBorder="1" applyAlignment="1">
      <alignment horizontal="left" vertical="top" wrapText="1"/>
    </xf>
    <xf numFmtId="0" fontId="7" fillId="5" borderId="2" xfId="0" applyFont="1" applyFill="1" applyBorder="1" applyAlignment="1">
      <alignment horizontal="left" vertical="top" wrapText="1"/>
    </xf>
    <xf numFmtId="0" fontId="9" fillId="7"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0" fillId="2" borderId="2" xfId="0" applyFill="1" applyBorder="1"/>
    <xf numFmtId="2" fontId="7" fillId="0" borderId="2" xfId="0" applyNumberFormat="1" applyFont="1" applyBorder="1" applyAlignment="1">
      <alignment horizontal="center" vertical="center" wrapText="1"/>
    </xf>
    <xf numFmtId="2" fontId="7" fillId="5" borderId="2" xfId="0" applyNumberFormat="1" applyFont="1" applyFill="1" applyBorder="1" applyAlignment="1">
      <alignment horizontal="center" vertical="center" wrapText="1"/>
    </xf>
    <xf numFmtId="2" fontId="7" fillId="8" borderId="2" xfId="0" applyNumberFormat="1" applyFont="1" applyFill="1" applyBorder="1" applyAlignment="1">
      <alignment horizontal="center" vertical="center" wrapText="1"/>
    </xf>
    <xf numFmtId="0" fontId="7" fillId="12" borderId="2" xfId="0" applyFont="1" applyFill="1" applyBorder="1" applyAlignment="1">
      <alignment horizontal="center" vertical="center" wrapText="1"/>
    </xf>
    <xf numFmtId="0" fontId="9" fillId="12" borderId="2" xfId="0" applyFont="1" applyFill="1" applyBorder="1" applyAlignment="1">
      <alignment horizontal="left" vertical="top" wrapText="1"/>
    </xf>
    <xf numFmtId="0" fontId="9" fillId="12" borderId="2" xfId="0" applyFont="1" applyFill="1" applyBorder="1" applyAlignment="1">
      <alignment horizontal="center" vertical="center" wrapText="1"/>
    </xf>
    <xf numFmtId="0" fontId="7" fillId="0" borderId="2" xfId="0" applyFont="1" applyBorder="1"/>
    <xf numFmtId="0" fontId="9" fillId="0" borderId="2" xfId="0" applyFont="1" applyBorder="1" applyAlignment="1">
      <alignment horizontal="left" vertical="center" wrapText="1" indent="1"/>
    </xf>
    <xf numFmtId="0" fontId="0" fillId="0" borderId="2" xfId="0" applyBorder="1"/>
    <xf numFmtId="0" fontId="13" fillId="2" borderId="2" xfId="0" applyFont="1" applyFill="1" applyBorder="1" applyAlignment="1">
      <alignment horizontal="center" vertical="center" wrapText="1"/>
    </xf>
    <xf numFmtId="0" fontId="9" fillId="5" borderId="2" xfId="0" applyFont="1" applyFill="1" applyBorder="1" applyAlignment="1">
      <alignment horizontal="left" vertical="center" wrapText="1" indent="1"/>
    </xf>
    <xf numFmtId="0" fontId="13" fillId="13" borderId="2"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7" fillId="5" borderId="2" xfId="0" applyFont="1" applyFill="1" applyBorder="1" applyAlignment="1">
      <alignment horizontal="left" vertical="center" wrapText="1" indent="1"/>
    </xf>
    <xf numFmtId="0" fontId="14" fillId="0" borderId="2" xfId="0" applyFont="1" applyBorder="1" applyAlignment="1">
      <alignment horizontal="left" vertical="top" wrapText="1"/>
    </xf>
    <xf numFmtId="0" fontId="14" fillId="5" borderId="2" xfId="0" applyFont="1" applyFill="1" applyBorder="1" applyAlignment="1">
      <alignment horizontal="left" vertical="top" wrapText="1"/>
    </xf>
    <xf numFmtId="0" fontId="17" fillId="10" borderId="2" xfId="0" applyFont="1" applyFill="1" applyBorder="1" applyAlignment="1">
      <alignment horizontal="center" vertical="center" wrapText="1"/>
    </xf>
    <xf numFmtId="0" fontId="14" fillId="10" borderId="2" xfId="0" applyFont="1" applyFill="1" applyBorder="1" applyAlignment="1">
      <alignment horizontal="left" vertical="top" wrapText="1"/>
    </xf>
    <xf numFmtId="0" fontId="21" fillId="15" borderId="7" xfId="0" applyFont="1" applyFill="1" applyBorder="1" applyAlignment="1">
      <alignment horizontal="center" vertical="center" wrapText="1"/>
    </xf>
    <xf numFmtId="0" fontId="22" fillId="18" borderId="7" xfId="0" applyFont="1" applyFill="1" applyBorder="1" applyAlignment="1">
      <alignment horizontal="center" vertical="center" wrapText="1"/>
    </xf>
    <xf numFmtId="0" fontId="22" fillId="0" borderId="7" xfId="0" applyFont="1" applyBorder="1" applyAlignment="1">
      <alignment horizontal="center" vertical="center" wrapText="1"/>
    </xf>
    <xf numFmtId="0" fontId="23" fillId="0" borderId="7" xfId="0" applyFont="1" applyBorder="1" applyAlignment="1">
      <alignment horizontal="left" vertical="top" wrapText="1"/>
    </xf>
    <xf numFmtId="0" fontId="22" fillId="19" borderId="7" xfId="0" applyFont="1" applyFill="1" applyBorder="1" applyAlignment="1">
      <alignment horizontal="center" vertical="center" wrapText="1"/>
    </xf>
    <xf numFmtId="0" fontId="22" fillId="20" borderId="7" xfId="0" applyFont="1" applyFill="1" applyBorder="1" applyAlignment="1">
      <alignment horizontal="center" vertical="center" wrapText="1"/>
    </xf>
    <xf numFmtId="0" fontId="22" fillId="21" borderId="7" xfId="0" applyFont="1" applyFill="1" applyBorder="1" applyAlignment="1">
      <alignment horizontal="center" vertical="center" wrapText="1"/>
    </xf>
    <xf numFmtId="0" fontId="22" fillId="22" borderId="7" xfId="0" applyFont="1" applyFill="1" applyBorder="1" applyAlignment="1">
      <alignment horizontal="center" vertical="center" wrapText="1"/>
    </xf>
    <xf numFmtId="0" fontId="23" fillId="22" borderId="7" xfId="0" applyFont="1" applyFill="1" applyBorder="1" applyAlignment="1">
      <alignment horizontal="left" vertical="top" wrapText="1"/>
    </xf>
    <xf numFmtId="0" fontId="27" fillId="23" borderId="8" xfId="0" applyFont="1" applyFill="1" applyBorder="1" applyAlignment="1">
      <alignment horizontal="center" vertical="center" wrapText="1"/>
    </xf>
    <xf numFmtId="0" fontId="23" fillId="0" borderId="8" xfId="0" applyFont="1" applyBorder="1" applyAlignment="1">
      <alignment horizontal="left" vertical="top" wrapText="1"/>
    </xf>
    <xf numFmtId="0" fontId="23" fillId="0" borderId="8" xfId="0" applyFont="1" applyBorder="1" applyAlignment="1">
      <alignment horizontal="left" vertical="top" wrapText="1"/>
    </xf>
    <xf numFmtId="0" fontId="0" fillId="0" borderId="0" xfId="0"/>
    <xf numFmtId="0" fontId="26" fillId="25" borderId="0" xfId="0" applyFont="1" applyFill="1" applyAlignment="1">
      <alignment horizontal="left" vertical="center" wrapText="1" indent="1"/>
    </xf>
    <xf numFmtId="0" fontId="27" fillId="23" borderId="8" xfId="0" applyFont="1" applyFill="1" applyBorder="1" applyAlignment="1">
      <alignment horizontal="center" vertical="center" wrapText="1"/>
    </xf>
    <xf numFmtId="0" fontId="24" fillId="23" borderId="0" xfId="0" applyFont="1" applyFill="1" applyAlignment="1">
      <alignment horizontal="center" vertical="center" wrapText="1"/>
    </xf>
    <xf numFmtId="0" fontId="25" fillId="24" borderId="8" xfId="0" applyFont="1" applyFill="1" applyBorder="1" applyAlignment="1">
      <alignment horizontal="left" vertical="top" wrapText="1"/>
    </xf>
    <xf numFmtId="0" fontId="3" fillId="3" borderId="0" xfId="0" applyFont="1" applyFill="1" applyAlignment="1">
      <alignment horizontal="left" vertical="center" inden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4" fillId="4" borderId="1" xfId="0" applyFont="1" applyFill="1" applyBorder="1" applyAlignment="1">
      <alignment horizontal="left" vertical="top" wrapText="1"/>
    </xf>
    <xf numFmtId="0" fontId="0" fillId="0" borderId="3" xfId="0" applyBorder="1"/>
    <xf numFmtId="0" fontId="15" fillId="4" borderId="1" xfId="0" applyFont="1" applyFill="1" applyBorder="1" applyAlignment="1">
      <alignment horizontal="left" vertical="top" wrapText="1"/>
    </xf>
    <xf numFmtId="0" fontId="10" fillId="2" borderId="0" xfId="0" applyFont="1" applyFill="1" applyAlignment="1">
      <alignment horizontal="center" vertical="center" wrapText="1"/>
    </xf>
    <xf numFmtId="0" fontId="8" fillId="3" borderId="7" xfId="0" applyFont="1" applyFill="1" applyBorder="1" applyAlignment="1">
      <alignment horizontal="left" vertical="top" wrapText="1"/>
    </xf>
    <xf numFmtId="0" fontId="0" fillId="0" borderId="4" xfId="0" applyBorder="1"/>
    <xf numFmtId="0" fontId="0" fillId="0" borderId="5" xfId="0" applyBorder="1"/>
    <xf numFmtId="0" fontId="7" fillId="3" borderId="7" xfId="0" applyFont="1" applyFill="1" applyBorder="1" applyAlignment="1">
      <alignment horizontal="center" vertical="center" wrapText="1"/>
    </xf>
    <xf numFmtId="0" fontId="16" fillId="2" borderId="0" xfId="0" applyFont="1" applyFill="1" applyAlignment="1">
      <alignment horizontal="center" vertical="center" wrapText="1"/>
    </xf>
    <xf numFmtId="0" fontId="7" fillId="10" borderId="7" xfId="0" applyFont="1" applyFill="1" applyBorder="1" applyAlignment="1">
      <alignment horizontal="left" vertical="center" wrapText="1" indent="1"/>
    </xf>
    <xf numFmtId="0" fontId="3" fillId="3" borderId="0" xfId="0" applyFont="1" applyFill="1" applyAlignment="1">
      <alignment horizontal="left" vertical="center" wrapText="1" indent="1"/>
    </xf>
    <xf numFmtId="0" fontId="7" fillId="0" borderId="7" xfId="0" applyFont="1" applyBorder="1" applyAlignment="1">
      <alignment horizontal="left" vertical="center" wrapText="1" indent="1"/>
    </xf>
    <xf numFmtId="0" fontId="7" fillId="0" borderId="1" xfId="0" applyFont="1" applyBorder="1" applyAlignment="1">
      <alignment horizontal="center" vertical="center" wrapText="1"/>
    </xf>
    <xf numFmtId="0" fontId="9" fillId="0" borderId="1" xfId="0" applyFont="1" applyBorder="1" applyAlignment="1">
      <alignment horizontal="left" vertical="top" wrapText="1"/>
    </xf>
    <xf numFmtId="0" fontId="9" fillId="5" borderId="1" xfId="0" applyFont="1" applyFill="1" applyBorder="1" applyAlignment="1">
      <alignment horizontal="left" vertical="top" wrapText="1"/>
    </xf>
    <xf numFmtId="0" fontId="5" fillId="2" borderId="7" xfId="0" applyFont="1" applyFill="1" applyBorder="1" applyAlignment="1">
      <alignment horizontal="center" vertical="center" wrapText="1"/>
    </xf>
    <xf numFmtId="0" fontId="0" fillId="0" borderId="6" xfId="0" applyBorder="1"/>
    <xf numFmtId="0" fontId="13" fillId="11" borderId="1"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6" borderId="7" xfId="0" applyFont="1" applyFill="1" applyBorder="1" applyAlignment="1">
      <alignment horizontal="center" vertical="center" wrapText="1"/>
    </xf>
    <xf numFmtId="0" fontId="9" fillId="0" borderId="7" xfId="0" applyFont="1" applyBorder="1" applyAlignment="1">
      <alignment horizontal="left" vertical="top" wrapText="1"/>
    </xf>
    <xf numFmtId="0" fontId="7" fillId="8" borderId="7" xfId="0" applyFont="1" applyFill="1" applyBorder="1" applyAlignment="1">
      <alignment horizontal="center" vertical="center" wrapText="1"/>
    </xf>
    <xf numFmtId="0" fontId="19" fillId="16" borderId="7" xfId="0" applyFont="1" applyFill="1" applyBorder="1" applyAlignment="1">
      <alignment horizontal="left" vertical="top" wrapText="1"/>
    </xf>
    <xf numFmtId="0" fontId="18" fillId="15" borderId="0" xfId="0" applyFont="1" applyFill="1" applyAlignment="1">
      <alignment horizontal="center" vertical="center" wrapText="1"/>
    </xf>
    <xf numFmtId="0" fontId="20" fillId="17" borderId="0" xfId="0" applyFont="1" applyFill="1" applyAlignment="1">
      <alignment horizontal="left" vertical="center" wrapText="1" indent="1"/>
    </xf>
    <xf numFmtId="0" fontId="5" fillId="14" borderId="0" xfId="0" applyFont="1" applyFill="1" applyAlignment="1">
      <alignment horizontal="center" vertical="center" wrapText="1"/>
    </xf>
    <xf numFmtId="0" fontId="5" fillId="2" borderId="0" xfId="0" applyFont="1" applyFill="1" applyAlignment="1">
      <alignment horizontal="center" vertical="center" wrapText="1"/>
    </xf>
    <xf numFmtId="0" fontId="7" fillId="4" borderId="0" xfId="0" applyFont="1" applyFill="1" applyAlignment="1">
      <alignment horizontal="left" vertical="center" wrapText="1" indent="1"/>
    </xf>
    <xf numFmtId="0" fontId="5" fillId="11" borderId="0" xfId="0" applyFont="1" applyFill="1" applyAlignment="1">
      <alignment horizontal="center" vertical="center" wrapText="1"/>
    </xf>
    <xf numFmtId="0" fontId="5" fillId="13" borderId="0" xfId="0" applyFont="1" applyFill="1" applyAlignment="1">
      <alignment horizontal="center" vertical="center" wrapText="1"/>
    </xf>
    <xf numFmtId="0" fontId="1" fillId="2" borderId="0" xfId="0" applyFont="1" applyFill="1" applyAlignment="1">
      <alignment horizontal="left" vertical="center" wrapText="1" indent="1"/>
    </xf>
    <xf numFmtId="0" fontId="9" fillId="0" borderId="7" xfId="0" applyFont="1" applyBorder="1" applyAlignment="1">
      <alignment horizontal="left" vertical="center" wrapText="1" indent="1"/>
    </xf>
  </cellXfs>
  <cellStyles count="1">
    <cellStyle name="Normal" xfId="0" builtinId="0"/>
  </cellStyles>
  <dxfs count="7">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D699"/>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F2F2F2"/>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EDEDED"/>
      <rgbColor rgb="FFC6EFCE"/>
      <rgbColor rgb="FFFFEB9C"/>
      <rgbColor rgb="FFD9E1F2"/>
      <rgbColor rgb="FFFFC7CE"/>
      <rgbColor rgb="FFCC99FF"/>
      <rgbColor rgb="FFFFD699"/>
      <rgbColor rgb="FF2E75B6"/>
      <rgbColor rgb="FF33CCCC"/>
      <rgbColor rgb="FF99CC00"/>
      <rgbColor rgb="FFFFCC00"/>
      <rgbColor rgb="FFFF9900"/>
      <rgbColor rgb="FFFF6600"/>
      <rgbColor rgb="FF595959"/>
      <rgbColor rgb="FF70AD4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11</xdr:col>
      <xdr:colOff>56520</xdr:colOff>
      <xdr:row>46</xdr:row>
      <xdr:rowOff>142200</xdr:rowOff>
    </xdr:to>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tretch>
          <a:fillRect/>
        </a:stretch>
      </xdr:blipFill>
      <xdr:spPr>
        <a:xfrm>
          <a:off x="0" y="7448400"/>
          <a:ext cx="10276920" cy="631440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12849225" cy="710565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40</xdr:row>
      <xdr:rowOff>0</xdr:rowOff>
    </xdr:from>
    <xdr:ext cx="12849225" cy="7105650"/>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74</xdr:row>
      <xdr:rowOff>0</xdr:rowOff>
    </xdr:from>
    <xdr:ext cx="12849225" cy="7105650"/>
    <xdr:pic>
      <xdr:nvPicPr>
        <xdr:cNvPr id="4" name="Image 3" descr="Picture">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108</xdr:row>
      <xdr:rowOff>0</xdr:rowOff>
    </xdr:from>
    <xdr:ext cx="12849225" cy="7105650"/>
    <xdr:pic>
      <xdr:nvPicPr>
        <xdr:cNvPr id="5" name="Image 4" descr="Picture">
          <a:extLst>
            <a:ext uri="{FF2B5EF4-FFF2-40B4-BE49-F238E27FC236}">
              <a16:creationId xmlns:a16="http://schemas.microsoft.com/office/drawing/2014/main" id="{00000000-0008-0000-1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142</xdr:row>
      <xdr:rowOff>0</xdr:rowOff>
    </xdr:from>
    <xdr:ext cx="12849225" cy="7105650"/>
    <xdr:pic>
      <xdr:nvPicPr>
        <xdr:cNvPr id="6" name="Image 5" descr="Picture">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176</xdr:row>
      <xdr:rowOff>0</xdr:rowOff>
    </xdr:from>
    <xdr:ext cx="12849225" cy="7105650"/>
    <xdr:pic>
      <xdr:nvPicPr>
        <xdr:cNvPr id="7" name="Image 6" descr="Picture">
          <a:extLst>
            <a:ext uri="{FF2B5EF4-FFF2-40B4-BE49-F238E27FC236}">
              <a16:creationId xmlns:a16="http://schemas.microsoft.com/office/drawing/2014/main" id="{00000000-0008-0000-1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13</xdr:col>
      <xdr:colOff>147960</xdr:colOff>
      <xdr:row>46</xdr:row>
      <xdr:rowOff>56520</xdr:rowOff>
    </xdr:to>
    <xdr:pic>
      <xdr:nvPicPr>
        <xdr:cNvPr id="7" name="Image 1" descr="Picture">
          <a:extLst>
            <a:ext uri="{FF2B5EF4-FFF2-40B4-BE49-F238E27FC236}">
              <a16:creationId xmlns:a16="http://schemas.microsoft.com/office/drawing/2014/main" id="{00000000-0008-0000-1300-000007000000}"/>
            </a:ext>
          </a:extLst>
        </xdr:cNvPr>
        <xdr:cNvPicPr/>
      </xdr:nvPicPr>
      <xdr:blipFill>
        <a:blip xmlns:r="http://schemas.openxmlformats.org/officeDocument/2006/relationships" r:embed="rId1"/>
        <a:stretch>
          <a:fillRect/>
        </a:stretch>
      </xdr:blipFill>
      <xdr:spPr>
        <a:xfrm>
          <a:off x="0" y="6343560"/>
          <a:ext cx="11734200" cy="57715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showGridLines="0" zoomScale="76" zoomScaleNormal="76" workbookViewId="0">
      <pane ySplit="3" topLeftCell="A23" activePane="bottomLeft" state="frozen"/>
      <selection pane="bottomLeft" activeCell="C42" sqref="C42"/>
    </sheetView>
  </sheetViews>
  <sheetFormatPr baseColWidth="10" defaultColWidth="8.703125" defaultRowHeight="14.35" x14ac:dyDescent="0.5"/>
  <cols>
    <col min="1" max="1" width="12.29296875" customWidth="1"/>
    <col min="2" max="2" width="28" customWidth="1"/>
    <col min="3" max="3" width="70" customWidth="1"/>
    <col min="4" max="4" width="25" customWidth="1"/>
  </cols>
  <sheetData>
    <row r="1" spans="1:4" ht="27.75" customHeight="1" x14ac:dyDescent="0.5">
      <c r="A1" s="76" t="s">
        <v>22</v>
      </c>
      <c r="B1" s="70"/>
      <c r="C1" s="70"/>
      <c r="D1" s="70"/>
    </row>
    <row r="2" spans="1:4" ht="27.75" customHeight="1" x14ac:dyDescent="0.5">
      <c r="A2" s="70"/>
      <c r="B2" s="70"/>
      <c r="C2" s="70"/>
      <c r="D2" s="70"/>
    </row>
    <row r="4" spans="1:4" ht="15.75" customHeight="1" x14ac:dyDescent="0.5">
      <c r="A4" s="77" t="s">
        <v>23</v>
      </c>
      <c r="B4" s="70"/>
      <c r="C4" s="70"/>
      <c r="D4" s="70"/>
    </row>
    <row r="6" spans="1:4" ht="21.75" customHeight="1" x14ac:dyDescent="0.5">
      <c r="A6" s="75" t="s">
        <v>24</v>
      </c>
      <c r="B6" s="70"/>
      <c r="C6" s="70"/>
      <c r="D6" s="70"/>
    </row>
    <row r="7" spans="1:4" ht="90" customHeight="1" x14ac:dyDescent="0.5">
      <c r="A7" s="78" t="s">
        <v>25</v>
      </c>
      <c r="B7" s="79"/>
      <c r="C7" s="79"/>
      <c r="D7" s="79"/>
    </row>
    <row r="9" spans="1:4" ht="21.75" customHeight="1" x14ac:dyDescent="0.5">
      <c r="A9" s="75" t="s">
        <v>26</v>
      </c>
      <c r="B9" s="70"/>
      <c r="C9" s="70"/>
      <c r="D9" s="70"/>
    </row>
    <row r="10" spans="1:4" ht="27.75" customHeight="1" x14ac:dyDescent="0.5">
      <c r="A10" s="1" t="s">
        <v>27</v>
      </c>
      <c r="B10" s="1" t="s">
        <v>28</v>
      </c>
      <c r="C10" s="1" t="s">
        <v>29</v>
      </c>
      <c r="D10" s="2" t="s">
        <v>30</v>
      </c>
    </row>
    <row r="11" spans="1:4" ht="48" customHeight="1" x14ac:dyDescent="0.5">
      <c r="A11" s="3" t="s">
        <v>31</v>
      </c>
      <c r="B11" s="4" t="s">
        <v>32</v>
      </c>
      <c r="C11" s="5" t="s">
        <v>33</v>
      </c>
      <c r="D11" s="6" t="s">
        <v>34</v>
      </c>
    </row>
    <row r="12" spans="1:4" ht="48" customHeight="1" x14ac:dyDescent="0.5">
      <c r="A12" s="7" t="s">
        <v>35</v>
      </c>
      <c r="B12" s="8" t="s">
        <v>36</v>
      </c>
      <c r="C12" s="8" t="s">
        <v>37</v>
      </c>
      <c r="D12" s="8" t="s">
        <v>38</v>
      </c>
    </row>
    <row r="13" spans="1:4" ht="77" customHeight="1" x14ac:dyDescent="0.5">
      <c r="A13" s="3" t="s">
        <v>39</v>
      </c>
      <c r="B13" s="5" t="s">
        <v>40</v>
      </c>
      <c r="C13" s="5" t="s">
        <v>41</v>
      </c>
      <c r="D13" s="5" t="s">
        <v>42</v>
      </c>
    </row>
    <row r="14" spans="1:4" ht="48" customHeight="1" x14ac:dyDescent="0.5">
      <c r="A14" s="7" t="s">
        <v>43</v>
      </c>
      <c r="B14" s="8" t="s">
        <v>44</v>
      </c>
      <c r="C14" s="8" t="s">
        <v>45</v>
      </c>
      <c r="D14" s="9" t="s">
        <v>46</v>
      </c>
    </row>
    <row r="15" spans="1:4" ht="48" customHeight="1" x14ac:dyDescent="0.5">
      <c r="A15" s="3" t="s">
        <v>47</v>
      </c>
      <c r="B15" s="5" t="s">
        <v>48</v>
      </c>
      <c r="C15" s="5" t="s">
        <v>49</v>
      </c>
      <c r="D15" s="4" t="s">
        <v>50</v>
      </c>
    </row>
    <row r="17" spans="1:4" ht="21.75" customHeight="1" x14ac:dyDescent="0.5">
      <c r="A17" s="75" t="s">
        <v>51</v>
      </c>
      <c r="B17" s="70"/>
      <c r="C17" s="70"/>
      <c r="D17" s="70"/>
    </row>
    <row r="18" spans="1:4" ht="24" customHeight="1" x14ac:dyDescent="0.5">
      <c r="A18" s="1" t="s">
        <v>52</v>
      </c>
      <c r="B18" s="1" t="s">
        <v>27</v>
      </c>
      <c r="C18" s="1" t="s">
        <v>53</v>
      </c>
      <c r="D18" s="1" t="s">
        <v>54</v>
      </c>
    </row>
    <row r="19" spans="1:4" ht="21.75" customHeight="1" x14ac:dyDescent="0.5">
      <c r="A19" s="4" t="s">
        <v>55</v>
      </c>
      <c r="B19" s="10" t="s">
        <v>56</v>
      </c>
      <c r="C19" s="5" t="s">
        <v>57</v>
      </c>
      <c r="D19" s="5" t="s">
        <v>58</v>
      </c>
    </row>
    <row r="20" spans="1:4" ht="29" customHeight="1" x14ac:dyDescent="0.5">
      <c r="A20" s="8" t="s">
        <v>59</v>
      </c>
      <c r="B20" s="11" t="s">
        <v>31</v>
      </c>
      <c r="C20" s="8" t="s">
        <v>60</v>
      </c>
      <c r="D20" s="8" t="s">
        <v>58</v>
      </c>
    </row>
    <row r="21" spans="1:4" ht="31.35" customHeight="1" x14ac:dyDescent="0.5">
      <c r="A21" s="5" t="s">
        <v>61</v>
      </c>
      <c r="B21" s="10" t="s">
        <v>31</v>
      </c>
      <c r="C21" s="5" t="s">
        <v>62</v>
      </c>
      <c r="D21" s="5" t="s">
        <v>58</v>
      </c>
    </row>
    <row r="22" spans="1:4" ht="30" customHeight="1" x14ac:dyDescent="0.5">
      <c r="A22" s="8" t="s">
        <v>63</v>
      </c>
      <c r="B22" s="11" t="s">
        <v>31</v>
      </c>
      <c r="C22" s="8" t="s">
        <v>64</v>
      </c>
      <c r="D22" s="8" t="s">
        <v>58</v>
      </c>
    </row>
    <row r="23" spans="1:4" ht="25.7" customHeight="1" x14ac:dyDescent="0.5">
      <c r="A23" s="5" t="s">
        <v>65</v>
      </c>
      <c r="B23" s="10" t="s">
        <v>31</v>
      </c>
      <c r="C23" s="5" t="s">
        <v>66</v>
      </c>
      <c r="D23" s="5" t="s">
        <v>58</v>
      </c>
    </row>
    <row r="24" spans="1:4" ht="29" customHeight="1" x14ac:dyDescent="0.5">
      <c r="A24" s="8" t="s">
        <v>67</v>
      </c>
      <c r="B24" s="11" t="s">
        <v>31</v>
      </c>
      <c r="C24" s="8" t="s">
        <v>68</v>
      </c>
      <c r="D24" s="8" t="s">
        <v>58</v>
      </c>
    </row>
    <row r="25" spans="1:4" ht="25.5" customHeight="1" x14ac:dyDescent="0.5">
      <c r="A25" s="5" t="s">
        <v>69</v>
      </c>
      <c r="B25" s="10" t="s">
        <v>35</v>
      </c>
      <c r="C25" s="5" t="s">
        <v>70</v>
      </c>
      <c r="D25" s="5" t="s">
        <v>58</v>
      </c>
    </row>
    <row r="26" spans="1:4" ht="25.5" customHeight="1" x14ac:dyDescent="0.5">
      <c r="A26" s="8" t="s">
        <v>71</v>
      </c>
      <c r="B26" s="11" t="s">
        <v>35</v>
      </c>
      <c r="C26" s="8" t="s">
        <v>72</v>
      </c>
      <c r="D26" s="8" t="s">
        <v>58</v>
      </c>
    </row>
    <row r="27" spans="1:4" ht="25.5" customHeight="1" x14ac:dyDescent="0.5">
      <c r="A27" s="5" t="s">
        <v>73</v>
      </c>
      <c r="B27" s="10" t="s">
        <v>35</v>
      </c>
      <c r="C27" s="5" t="s">
        <v>74</v>
      </c>
      <c r="D27" s="5" t="s">
        <v>58</v>
      </c>
    </row>
    <row r="28" spans="1:4" ht="25.5" customHeight="1" x14ac:dyDescent="0.5">
      <c r="A28" s="8" t="s">
        <v>75</v>
      </c>
      <c r="B28" s="11" t="s">
        <v>35</v>
      </c>
      <c r="C28" s="8" t="s">
        <v>76</v>
      </c>
      <c r="D28" s="8" t="s">
        <v>58</v>
      </c>
    </row>
    <row r="29" spans="1:4" ht="25.5" customHeight="1" x14ac:dyDescent="0.5">
      <c r="A29" s="5" t="s">
        <v>77</v>
      </c>
      <c r="B29" s="10" t="s">
        <v>39</v>
      </c>
      <c r="C29" s="54" t="s">
        <v>78</v>
      </c>
      <c r="D29" s="5" t="s">
        <v>58</v>
      </c>
    </row>
    <row r="30" spans="1:4" ht="25.5" customHeight="1" x14ac:dyDescent="0.5">
      <c r="A30" s="8" t="s">
        <v>79</v>
      </c>
      <c r="B30" s="11" t="s">
        <v>39</v>
      </c>
      <c r="C30" s="8" t="s">
        <v>80</v>
      </c>
      <c r="D30" s="8" t="s">
        <v>58</v>
      </c>
    </row>
    <row r="31" spans="1:4" ht="25.5" customHeight="1" x14ac:dyDescent="0.5">
      <c r="A31" s="5" t="s">
        <v>81</v>
      </c>
      <c r="B31" s="10" t="s">
        <v>39</v>
      </c>
      <c r="C31" s="54" t="s">
        <v>82</v>
      </c>
      <c r="D31" s="5" t="s">
        <v>58</v>
      </c>
    </row>
    <row r="32" spans="1:4" ht="25.5" customHeight="1" x14ac:dyDescent="0.5">
      <c r="A32" s="8" t="s">
        <v>83</v>
      </c>
      <c r="B32" s="11" t="s">
        <v>39</v>
      </c>
      <c r="C32" s="8" t="s">
        <v>84</v>
      </c>
      <c r="D32" s="8" t="s">
        <v>58</v>
      </c>
    </row>
    <row r="33" spans="1:4" ht="25.5" customHeight="1" x14ac:dyDescent="0.5">
      <c r="A33" s="5" t="s">
        <v>85</v>
      </c>
      <c r="B33" s="10" t="s">
        <v>39</v>
      </c>
      <c r="C33" s="5" t="s">
        <v>86</v>
      </c>
      <c r="D33" s="5" t="s">
        <v>58</v>
      </c>
    </row>
    <row r="34" spans="1:4" ht="25.5" customHeight="1" x14ac:dyDescent="0.5">
      <c r="A34" s="5" t="s">
        <v>87</v>
      </c>
      <c r="B34" s="10" t="s">
        <v>43</v>
      </c>
      <c r="C34" s="54" t="s">
        <v>88</v>
      </c>
      <c r="D34" s="5" t="s">
        <v>58</v>
      </c>
    </row>
    <row r="35" spans="1:4" ht="25.5" customHeight="1" x14ac:dyDescent="0.5">
      <c r="A35" s="8" t="s">
        <v>89</v>
      </c>
      <c r="B35" s="11" t="s">
        <v>43</v>
      </c>
      <c r="C35" s="8" t="s">
        <v>90</v>
      </c>
      <c r="D35" s="8" t="s">
        <v>58</v>
      </c>
    </row>
    <row r="36" spans="1:4" ht="25.5" customHeight="1" x14ac:dyDescent="0.5">
      <c r="A36" s="5" t="s">
        <v>91</v>
      </c>
      <c r="B36" s="10" t="s">
        <v>43</v>
      </c>
      <c r="C36" s="5" t="s">
        <v>92</v>
      </c>
      <c r="D36" s="5" t="s">
        <v>58</v>
      </c>
    </row>
    <row r="37" spans="1:4" ht="25.5" customHeight="1" x14ac:dyDescent="0.5">
      <c r="A37" s="5" t="s">
        <v>93</v>
      </c>
      <c r="B37" s="10" t="s">
        <v>47</v>
      </c>
      <c r="C37" s="5" t="s">
        <v>94</v>
      </c>
      <c r="D37" s="5" t="s">
        <v>58</v>
      </c>
    </row>
    <row r="38" spans="1:4" ht="25.5" customHeight="1" x14ac:dyDescent="0.5">
      <c r="A38" s="8" t="s">
        <v>95</v>
      </c>
      <c r="B38" s="11" t="s">
        <v>47</v>
      </c>
      <c r="C38" s="8" t="s">
        <v>96</v>
      </c>
      <c r="D38" s="8" t="s">
        <v>58</v>
      </c>
    </row>
    <row r="39" spans="1:4" ht="25.5" customHeight="1" x14ac:dyDescent="0.5">
      <c r="A39" s="5" t="s">
        <v>97</v>
      </c>
      <c r="B39" s="10" t="s">
        <v>47</v>
      </c>
      <c r="C39" s="54" t="s">
        <v>98</v>
      </c>
      <c r="D39" s="5" t="s">
        <v>58</v>
      </c>
    </row>
    <row r="40" spans="1:4" ht="25.5" customHeight="1" x14ac:dyDescent="0.5">
      <c r="A40" s="8" t="s">
        <v>99</v>
      </c>
      <c r="B40" s="11" t="s">
        <v>47</v>
      </c>
      <c r="C40" s="8" t="s">
        <v>100</v>
      </c>
      <c r="D40" s="8" t="s">
        <v>58</v>
      </c>
    </row>
    <row r="41" spans="1:4" ht="25.5" customHeight="1" x14ac:dyDescent="0.5">
      <c r="A41" s="5" t="s">
        <v>101</v>
      </c>
      <c r="B41" s="10" t="s">
        <v>47</v>
      </c>
      <c r="C41" s="54" t="s">
        <v>102</v>
      </c>
      <c r="D41" s="5" t="s">
        <v>58</v>
      </c>
    </row>
    <row r="42" spans="1:4" ht="25.5" customHeight="1" x14ac:dyDescent="0.5">
      <c r="A42" s="8" t="s">
        <v>103</v>
      </c>
      <c r="B42" s="11" t="s">
        <v>47</v>
      </c>
      <c r="C42" s="8" t="s">
        <v>104</v>
      </c>
      <c r="D42" s="8" t="s">
        <v>58</v>
      </c>
    </row>
  </sheetData>
  <mergeCells count="6">
    <mergeCell ref="A17:D17"/>
    <mergeCell ref="A1:D2"/>
    <mergeCell ref="A9:D9"/>
    <mergeCell ref="A6:D6"/>
    <mergeCell ref="A4:D4"/>
    <mergeCell ref="A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showGridLines="0" zoomScaleNormal="100" workbookViewId="0">
      <pane ySplit="3" topLeftCell="A4" activePane="bottomLeft" state="frozen"/>
      <selection pane="bottomLeft" activeCell="A4" sqref="A4:C4"/>
    </sheetView>
  </sheetViews>
  <sheetFormatPr baseColWidth="10" defaultColWidth="8.703125" defaultRowHeight="14.35" x14ac:dyDescent="0.5"/>
  <cols>
    <col min="1" max="1" width="4" customWidth="1"/>
    <col min="2" max="2" width="30" customWidth="1"/>
    <col min="3" max="3" width="100" customWidth="1"/>
  </cols>
  <sheetData>
    <row r="1" spans="1:3" ht="25.5" customHeight="1" x14ac:dyDescent="0.5">
      <c r="A1" s="81" t="s">
        <v>105</v>
      </c>
      <c r="B1" s="70"/>
      <c r="C1" s="70"/>
    </row>
    <row r="2" spans="1:3" ht="25.5" customHeight="1" x14ac:dyDescent="0.5">
      <c r="A2" s="70"/>
      <c r="B2" s="70"/>
      <c r="C2" s="70"/>
    </row>
    <row r="4" spans="1:3" ht="43.5" customHeight="1" x14ac:dyDescent="0.5">
      <c r="A4" s="80" t="s">
        <v>106</v>
      </c>
      <c r="B4" s="79"/>
      <c r="C4" s="79"/>
    </row>
    <row r="6" spans="1:3" ht="21.75" customHeight="1" x14ac:dyDescent="0.5">
      <c r="A6" s="75" t="s">
        <v>107</v>
      </c>
      <c r="B6" s="70"/>
      <c r="C6" s="70"/>
    </row>
    <row r="7" spans="1:3" ht="24" customHeight="1" x14ac:dyDescent="0.5">
      <c r="A7" s="1"/>
      <c r="B7" s="1" t="s">
        <v>108</v>
      </c>
      <c r="C7" s="1" t="s">
        <v>109</v>
      </c>
    </row>
    <row r="8" spans="1:3" ht="87.75" customHeight="1" x14ac:dyDescent="0.5">
      <c r="A8" s="3">
        <v>1</v>
      </c>
      <c r="B8" s="12" t="s">
        <v>110</v>
      </c>
      <c r="C8" s="5" t="s">
        <v>111</v>
      </c>
    </row>
    <row r="9" spans="1:3" ht="132" customHeight="1" x14ac:dyDescent="0.5">
      <c r="A9" s="3">
        <v>2</v>
      </c>
      <c r="B9" s="12" t="s">
        <v>112</v>
      </c>
      <c r="C9" s="5" t="s">
        <v>113</v>
      </c>
    </row>
    <row r="10" spans="1:3" ht="132" customHeight="1" x14ac:dyDescent="0.5">
      <c r="A10" s="3">
        <v>3</v>
      </c>
      <c r="B10" s="12" t="s">
        <v>114</v>
      </c>
      <c r="C10" s="54" t="s">
        <v>115</v>
      </c>
    </row>
    <row r="11" spans="1:3" ht="153.75" customHeight="1" x14ac:dyDescent="0.5">
      <c r="A11" s="3">
        <v>4</v>
      </c>
      <c r="B11" s="12" t="s">
        <v>116</v>
      </c>
      <c r="C11" s="54" t="s">
        <v>117</v>
      </c>
    </row>
    <row r="12" spans="1:3" ht="132" customHeight="1" x14ac:dyDescent="0.5">
      <c r="A12" s="3">
        <v>5</v>
      </c>
      <c r="B12" s="12" t="s">
        <v>118</v>
      </c>
      <c r="C12" s="54" t="s">
        <v>119</v>
      </c>
    </row>
  </sheetData>
  <mergeCells count="3">
    <mergeCell ref="A4:C4"/>
    <mergeCell ref="A1:C2"/>
    <mergeCell ref="A6:C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showGridLines="0" topLeftCell="B1" zoomScaleNormal="100" workbookViewId="0">
      <pane ySplit="7" topLeftCell="A8" activePane="bottomLeft" state="frozen"/>
      <selection pane="bottomLeft" activeCell="A4" sqref="A4:E4"/>
    </sheetView>
  </sheetViews>
  <sheetFormatPr baseColWidth="10" defaultColWidth="8.703125" defaultRowHeight="14.35" x14ac:dyDescent="0.5"/>
  <cols>
    <col min="1" max="1" width="10" customWidth="1"/>
    <col min="2" max="2" width="28" customWidth="1"/>
    <col min="3" max="3" width="35" customWidth="1"/>
    <col min="4" max="4" width="14" customWidth="1"/>
    <col min="5" max="5" width="60" customWidth="1"/>
  </cols>
  <sheetData>
    <row r="1" spans="1:5" ht="25.5" customHeight="1" x14ac:dyDescent="0.5">
      <c r="A1" s="81" t="s">
        <v>120</v>
      </c>
      <c r="B1" s="70"/>
      <c r="C1" s="70"/>
      <c r="D1" s="70"/>
      <c r="E1" s="70"/>
    </row>
    <row r="2" spans="1:5" ht="25.5" customHeight="1" x14ac:dyDescent="0.5">
      <c r="A2" s="70"/>
      <c r="B2" s="70"/>
      <c r="C2" s="70"/>
      <c r="D2" s="70"/>
      <c r="E2" s="70"/>
    </row>
    <row r="4" spans="1:5" ht="57.75" customHeight="1" x14ac:dyDescent="0.5">
      <c r="A4" s="80" t="s">
        <v>121</v>
      </c>
      <c r="B4" s="79"/>
      <c r="C4" s="79"/>
      <c r="D4" s="79"/>
      <c r="E4" s="79"/>
    </row>
    <row r="6" spans="1:5" ht="21.75" customHeight="1" x14ac:dyDescent="0.5">
      <c r="A6" s="75" t="s">
        <v>122</v>
      </c>
      <c r="B6" s="70"/>
      <c r="C6" s="70"/>
      <c r="D6" s="70"/>
      <c r="E6" s="70"/>
    </row>
    <row r="7" spans="1:5" ht="31.5" customHeight="1" x14ac:dyDescent="0.5">
      <c r="A7" s="1" t="s">
        <v>123</v>
      </c>
      <c r="B7" s="2" t="s">
        <v>124</v>
      </c>
      <c r="C7" s="1" t="s">
        <v>125</v>
      </c>
      <c r="D7" s="1" t="s">
        <v>126</v>
      </c>
      <c r="E7" s="1" t="s">
        <v>109</v>
      </c>
    </row>
    <row r="8" spans="1:5" ht="72" customHeight="1" x14ac:dyDescent="0.5">
      <c r="A8" s="85" t="s">
        <v>127</v>
      </c>
      <c r="B8" s="82" t="s">
        <v>128</v>
      </c>
      <c r="C8" s="14" t="s">
        <v>129</v>
      </c>
      <c r="D8" s="10" t="s">
        <v>130</v>
      </c>
      <c r="E8" s="5" t="s">
        <v>131</v>
      </c>
    </row>
    <row r="9" spans="1:5" ht="72" customHeight="1" x14ac:dyDescent="0.5">
      <c r="A9" s="83"/>
      <c r="B9" s="83"/>
      <c r="C9" s="15" t="s">
        <v>132</v>
      </c>
      <c r="D9" s="11" t="s">
        <v>130</v>
      </c>
      <c r="E9" s="8" t="s">
        <v>133</v>
      </c>
    </row>
    <row r="10" spans="1:5" ht="72" customHeight="1" x14ac:dyDescent="0.5">
      <c r="A10" s="83"/>
      <c r="B10" s="83"/>
      <c r="C10" s="14" t="s">
        <v>134</v>
      </c>
      <c r="D10" s="10" t="s">
        <v>135</v>
      </c>
      <c r="E10" s="54" t="s">
        <v>136</v>
      </c>
    </row>
    <row r="11" spans="1:5" ht="72" customHeight="1" x14ac:dyDescent="0.5">
      <c r="A11" s="83"/>
      <c r="B11" s="83"/>
      <c r="C11" s="15" t="s">
        <v>137</v>
      </c>
      <c r="D11" s="11" t="s">
        <v>130</v>
      </c>
      <c r="E11" s="8" t="s">
        <v>138</v>
      </c>
    </row>
    <row r="12" spans="1:5" ht="90" customHeight="1" x14ac:dyDescent="0.5">
      <c r="A12" s="84"/>
      <c r="B12" s="84"/>
      <c r="C12" s="15" t="s">
        <v>139</v>
      </c>
      <c r="D12" s="11" t="s">
        <v>130</v>
      </c>
      <c r="E12" s="55" t="s">
        <v>140</v>
      </c>
    </row>
    <row r="13" spans="1:5" ht="72" customHeight="1" x14ac:dyDescent="0.5">
      <c r="A13" s="85" t="s">
        <v>141</v>
      </c>
      <c r="B13" s="82" t="s">
        <v>142</v>
      </c>
      <c r="C13" s="14" t="s">
        <v>143</v>
      </c>
      <c r="D13" s="10" t="s">
        <v>130</v>
      </c>
      <c r="E13" s="5" t="s">
        <v>144</v>
      </c>
    </row>
    <row r="14" spans="1:5" ht="72" customHeight="1" x14ac:dyDescent="0.5">
      <c r="A14" s="83"/>
      <c r="B14" s="83"/>
      <c r="C14" s="15" t="s">
        <v>145</v>
      </c>
      <c r="D14" s="11" t="s">
        <v>135</v>
      </c>
      <c r="E14" s="8" t="s">
        <v>146</v>
      </c>
    </row>
    <row r="15" spans="1:5" ht="72" customHeight="1" x14ac:dyDescent="0.5">
      <c r="A15" s="84"/>
      <c r="B15" s="84"/>
      <c r="C15" s="14" t="s">
        <v>147</v>
      </c>
      <c r="D15" s="10" t="s">
        <v>130</v>
      </c>
      <c r="E15" s="5" t="s">
        <v>148</v>
      </c>
    </row>
    <row r="16" spans="1:5" ht="72" customHeight="1" x14ac:dyDescent="0.5">
      <c r="A16" s="85" t="s">
        <v>149</v>
      </c>
      <c r="B16" s="82" t="s">
        <v>150</v>
      </c>
      <c r="C16" s="15" t="s">
        <v>151</v>
      </c>
      <c r="D16" s="11" t="s">
        <v>130</v>
      </c>
      <c r="E16" s="8" t="s">
        <v>152</v>
      </c>
    </row>
    <row r="17" spans="1:5" ht="72" customHeight="1" x14ac:dyDescent="0.5">
      <c r="A17" s="83"/>
      <c r="B17" s="83"/>
      <c r="C17" s="14" t="s">
        <v>153</v>
      </c>
      <c r="D17" s="10" t="s">
        <v>135</v>
      </c>
      <c r="E17" s="5" t="s">
        <v>154</v>
      </c>
    </row>
    <row r="18" spans="1:5" ht="72" customHeight="1" x14ac:dyDescent="0.5">
      <c r="A18" s="83"/>
      <c r="B18" s="83"/>
      <c r="C18" s="15" t="s">
        <v>155</v>
      </c>
      <c r="D18" s="11" t="s">
        <v>130</v>
      </c>
      <c r="E18" s="55" t="s">
        <v>156</v>
      </c>
    </row>
    <row r="19" spans="1:5" ht="45.75" customHeight="1" x14ac:dyDescent="0.5">
      <c r="A19" s="84"/>
      <c r="B19" s="84"/>
      <c r="C19" s="14" t="s">
        <v>157</v>
      </c>
      <c r="D19" s="10" t="s">
        <v>130</v>
      </c>
      <c r="E19" s="54" t="s">
        <v>158</v>
      </c>
    </row>
  </sheetData>
  <mergeCells count="9">
    <mergeCell ref="B16:B19"/>
    <mergeCell ref="A13:A15"/>
    <mergeCell ref="A16:A19"/>
    <mergeCell ref="A4:E4"/>
    <mergeCell ref="B8:B12"/>
    <mergeCell ref="A8:A12"/>
    <mergeCell ref="B13:B15"/>
    <mergeCell ref="A1:E2"/>
    <mergeCell ref="A6:E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showGridLines="0" zoomScale="80" zoomScaleNormal="80" workbookViewId="0">
      <pane ySplit="7" topLeftCell="A15" activePane="bottomLeft" state="frozen"/>
      <selection activeCell="A4" sqref="A4:E4"/>
      <selection pane="bottomLeft" activeCell="A4" sqref="A4:F4"/>
    </sheetView>
  </sheetViews>
  <sheetFormatPr baseColWidth="10" defaultColWidth="8.703125" defaultRowHeight="14.35" x14ac:dyDescent="0.5"/>
  <cols>
    <col min="1" max="1" width="8" customWidth="1"/>
    <col min="2" max="2" width="32" customWidth="1"/>
    <col min="3" max="3" width="60" customWidth="1"/>
    <col min="4" max="5" width="18" customWidth="1"/>
    <col min="6" max="6" width="16" customWidth="1"/>
  </cols>
  <sheetData>
    <row r="1" spans="1:6" ht="25.5" customHeight="1" x14ac:dyDescent="0.5">
      <c r="A1" s="81" t="s">
        <v>159</v>
      </c>
      <c r="B1" s="70"/>
      <c r="C1" s="70"/>
      <c r="D1" s="70"/>
      <c r="E1" s="70"/>
      <c r="F1" s="70"/>
    </row>
    <row r="2" spans="1:6" ht="25.5" customHeight="1" x14ac:dyDescent="0.5">
      <c r="A2" s="70"/>
      <c r="B2" s="70"/>
      <c r="C2" s="70"/>
      <c r="D2" s="70"/>
      <c r="E2" s="70"/>
      <c r="F2" s="70"/>
    </row>
    <row r="4" spans="1:6" ht="96" customHeight="1" x14ac:dyDescent="0.5">
      <c r="A4" s="80" t="s">
        <v>160</v>
      </c>
      <c r="B4" s="79"/>
      <c r="C4" s="79"/>
      <c r="D4" s="79"/>
      <c r="E4" s="79"/>
      <c r="F4" s="79"/>
    </row>
    <row r="6" spans="1:6" ht="21.75" customHeight="1" x14ac:dyDescent="0.5">
      <c r="A6" s="75" t="s">
        <v>161</v>
      </c>
      <c r="B6" s="70"/>
      <c r="C6" s="70"/>
      <c r="D6" s="70"/>
      <c r="E6" s="70"/>
      <c r="F6" s="70"/>
    </row>
    <row r="7" spans="1:6" ht="31.5" customHeight="1" x14ac:dyDescent="0.5">
      <c r="A7" s="1" t="s">
        <v>162</v>
      </c>
      <c r="B7" s="1" t="s">
        <v>163</v>
      </c>
      <c r="C7" s="1" t="s">
        <v>109</v>
      </c>
      <c r="D7" s="1" t="s">
        <v>164</v>
      </c>
      <c r="E7" s="1" t="s">
        <v>165</v>
      </c>
      <c r="F7" s="1" t="s">
        <v>166</v>
      </c>
    </row>
    <row r="8" spans="1:6" ht="72" customHeight="1" x14ac:dyDescent="0.5">
      <c r="A8" s="3" t="s">
        <v>167</v>
      </c>
      <c r="B8" s="54" t="s">
        <v>168</v>
      </c>
      <c r="C8" s="54" t="s">
        <v>169</v>
      </c>
      <c r="D8" s="5" t="s">
        <v>170</v>
      </c>
      <c r="E8" s="5" t="s">
        <v>171</v>
      </c>
      <c r="F8" s="10" t="s">
        <v>172</v>
      </c>
    </row>
    <row r="9" spans="1:6" ht="72" customHeight="1" x14ac:dyDescent="0.5">
      <c r="A9" s="7" t="s">
        <v>173</v>
      </c>
      <c r="B9" s="55" t="s">
        <v>174</v>
      </c>
      <c r="C9" s="55" t="s">
        <v>175</v>
      </c>
      <c r="D9" s="8" t="s">
        <v>176</v>
      </c>
      <c r="E9" s="8" t="s">
        <v>171</v>
      </c>
      <c r="F9" s="11" t="s">
        <v>172</v>
      </c>
    </row>
    <row r="10" spans="1:6" ht="72" customHeight="1" x14ac:dyDescent="0.5">
      <c r="A10" s="3" t="s">
        <v>177</v>
      </c>
      <c r="B10" s="5" t="s">
        <v>178</v>
      </c>
      <c r="C10" s="5" t="s">
        <v>179</v>
      </c>
      <c r="D10" s="5" t="s">
        <v>180</v>
      </c>
      <c r="E10" s="5" t="s">
        <v>171</v>
      </c>
      <c r="F10" s="10" t="s">
        <v>172</v>
      </c>
    </row>
    <row r="11" spans="1:6" ht="72" customHeight="1" x14ac:dyDescent="0.5">
      <c r="A11" s="7" t="s">
        <v>181</v>
      </c>
      <c r="B11" s="8" t="s">
        <v>182</v>
      </c>
      <c r="C11" s="8" t="s">
        <v>183</v>
      </c>
      <c r="D11" s="8" t="s">
        <v>184</v>
      </c>
      <c r="E11" s="8" t="s">
        <v>171</v>
      </c>
      <c r="F11" s="11" t="s">
        <v>172</v>
      </c>
    </row>
    <row r="12" spans="1:6" ht="72" customHeight="1" x14ac:dyDescent="0.5">
      <c r="A12" s="3" t="s">
        <v>185</v>
      </c>
      <c r="B12" s="5" t="s">
        <v>186</v>
      </c>
      <c r="C12" s="5" t="s">
        <v>187</v>
      </c>
      <c r="D12" s="5" t="s">
        <v>188</v>
      </c>
      <c r="E12" s="54" t="s">
        <v>189</v>
      </c>
      <c r="F12" s="10" t="s">
        <v>172</v>
      </c>
    </row>
    <row r="13" spans="1:6" ht="72" customHeight="1" x14ac:dyDescent="0.5">
      <c r="A13" s="7" t="s">
        <v>190</v>
      </c>
      <c r="B13" s="8" t="s">
        <v>191</v>
      </c>
      <c r="C13" s="8" t="s">
        <v>192</v>
      </c>
      <c r="D13" s="8" t="s">
        <v>193</v>
      </c>
      <c r="E13" s="8" t="s">
        <v>171</v>
      </c>
      <c r="F13" s="11" t="s">
        <v>172</v>
      </c>
    </row>
    <row r="14" spans="1:6" ht="72" customHeight="1" x14ac:dyDescent="0.5">
      <c r="A14" s="3" t="s">
        <v>194</v>
      </c>
      <c r="B14" s="5" t="s">
        <v>195</v>
      </c>
      <c r="C14" s="5" t="s">
        <v>196</v>
      </c>
      <c r="D14" s="5" t="s">
        <v>197</v>
      </c>
      <c r="E14" s="5" t="s">
        <v>171</v>
      </c>
      <c r="F14" s="10" t="s">
        <v>172</v>
      </c>
    </row>
    <row r="15" spans="1:6" ht="72" customHeight="1" x14ac:dyDescent="0.5">
      <c r="A15" s="7" t="s">
        <v>198</v>
      </c>
      <c r="B15" s="8" t="s">
        <v>199</v>
      </c>
      <c r="C15" s="8" t="s">
        <v>200</v>
      </c>
      <c r="D15" s="8" t="s">
        <v>201</v>
      </c>
      <c r="E15" s="8" t="s">
        <v>202</v>
      </c>
      <c r="F15" s="11" t="s">
        <v>172</v>
      </c>
    </row>
    <row r="16" spans="1:6" ht="72" customHeight="1" x14ac:dyDescent="0.5">
      <c r="A16" s="3" t="s">
        <v>203</v>
      </c>
      <c r="B16" s="5" t="s">
        <v>204</v>
      </c>
      <c r="C16" s="5" t="s">
        <v>205</v>
      </c>
      <c r="D16" s="5" t="s">
        <v>206</v>
      </c>
      <c r="E16" s="5" t="s">
        <v>207</v>
      </c>
      <c r="F16" s="10" t="s">
        <v>172</v>
      </c>
    </row>
    <row r="17" spans="1:6" ht="72" customHeight="1" x14ac:dyDescent="0.5">
      <c r="A17" s="7" t="s">
        <v>208</v>
      </c>
      <c r="B17" s="8" t="s">
        <v>209</v>
      </c>
      <c r="C17" s="8" t="s">
        <v>210</v>
      </c>
      <c r="D17" s="8" t="s">
        <v>211</v>
      </c>
      <c r="E17" s="8" t="s">
        <v>212</v>
      </c>
      <c r="F17" s="11" t="s">
        <v>172</v>
      </c>
    </row>
    <row r="18" spans="1:6" ht="72" customHeight="1" x14ac:dyDescent="0.5">
      <c r="A18" s="3" t="s">
        <v>213</v>
      </c>
      <c r="B18" s="5" t="s">
        <v>214</v>
      </c>
      <c r="C18" s="5" t="s">
        <v>215</v>
      </c>
      <c r="D18" s="5" t="s">
        <v>184</v>
      </c>
      <c r="E18" s="5" t="s">
        <v>171</v>
      </c>
      <c r="F18" s="10" t="s">
        <v>172</v>
      </c>
    </row>
    <row r="19" spans="1:6" ht="72" customHeight="1" x14ac:dyDescent="0.5">
      <c r="A19" s="7" t="s">
        <v>216</v>
      </c>
      <c r="B19" s="8" t="s">
        <v>217</v>
      </c>
      <c r="C19" s="8" t="s">
        <v>218</v>
      </c>
      <c r="D19" s="8" t="s">
        <v>219</v>
      </c>
      <c r="E19" s="8" t="s">
        <v>171</v>
      </c>
      <c r="F19" s="11" t="s">
        <v>172</v>
      </c>
    </row>
    <row r="20" spans="1:6" ht="72" customHeight="1" x14ac:dyDescent="0.5">
      <c r="A20" s="3" t="s">
        <v>220</v>
      </c>
      <c r="B20" s="5" t="s">
        <v>221</v>
      </c>
      <c r="C20" s="5" t="s">
        <v>222</v>
      </c>
      <c r="D20" s="5" t="s">
        <v>184</v>
      </c>
      <c r="E20" s="5" t="s">
        <v>171</v>
      </c>
      <c r="F20" s="10" t="s">
        <v>172</v>
      </c>
    </row>
  </sheetData>
  <mergeCells count="3">
    <mergeCell ref="A6:F6"/>
    <mergeCell ref="A1:F2"/>
    <mergeCell ref="A4:F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showGridLines="0" zoomScaleNormal="100" workbookViewId="0">
      <pane ySplit="7" topLeftCell="A8" activePane="bottomLeft" state="frozen"/>
      <selection pane="bottomLeft" activeCell="C18" sqref="C18"/>
    </sheetView>
  </sheetViews>
  <sheetFormatPr baseColWidth="10" defaultColWidth="8.703125" defaultRowHeight="14.35" x14ac:dyDescent="0.5"/>
  <cols>
    <col min="1" max="1" width="8" customWidth="1"/>
    <col min="2" max="2" width="20" customWidth="1"/>
    <col min="3" max="5" width="32" customWidth="1"/>
    <col min="6" max="6" width="22" customWidth="1"/>
    <col min="7" max="7" width="32" customWidth="1"/>
  </cols>
  <sheetData>
    <row r="1" spans="1:7" ht="25.5" customHeight="1" x14ac:dyDescent="0.5">
      <c r="A1" s="86" t="s">
        <v>223</v>
      </c>
      <c r="B1" s="70"/>
      <c r="C1" s="70"/>
      <c r="D1" s="70"/>
      <c r="E1" s="70"/>
      <c r="F1" s="70"/>
      <c r="G1" s="70"/>
    </row>
    <row r="2" spans="1:7" ht="25.5" customHeight="1" x14ac:dyDescent="0.5">
      <c r="A2" s="70"/>
      <c r="B2" s="70"/>
      <c r="C2" s="70"/>
      <c r="D2" s="70"/>
      <c r="E2" s="70"/>
      <c r="F2" s="70"/>
      <c r="G2" s="70"/>
    </row>
    <row r="4" spans="1:7" ht="72" customHeight="1" x14ac:dyDescent="0.5">
      <c r="A4" s="80" t="s">
        <v>224</v>
      </c>
      <c r="B4" s="79"/>
      <c r="C4" s="79"/>
      <c r="D4" s="79"/>
      <c r="E4" s="79"/>
      <c r="F4" s="79"/>
      <c r="G4" s="79"/>
    </row>
    <row r="6" spans="1:7" ht="21.75" customHeight="1" x14ac:dyDescent="0.5">
      <c r="A6" s="75" t="s">
        <v>225</v>
      </c>
      <c r="B6" s="70"/>
      <c r="C6" s="70"/>
      <c r="D6" s="70"/>
      <c r="E6" s="70"/>
      <c r="F6" s="70"/>
      <c r="G6" s="70"/>
    </row>
    <row r="7" spans="1:7" ht="36" customHeight="1" x14ac:dyDescent="0.5">
      <c r="A7" s="1" t="s">
        <v>226</v>
      </c>
      <c r="B7" s="1" t="s">
        <v>227</v>
      </c>
      <c r="C7" s="1" t="s">
        <v>228</v>
      </c>
      <c r="D7" s="1" t="s">
        <v>229</v>
      </c>
      <c r="E7" s="1" t="s">
        <v>230</v>
      </c>
      <c r="F7" s="1" t="s">
        <v>231</v>
      </c>
      <c r="G7" s="1" t="s">
        <v>232</v>
      </c>
    </row>
    <row r="8" spans="1:7" ht="96" customHeight="1" x14ac:dyDescent="0.5">
      <c r="A8" s="16" t="s">
        <v>233</v>
      </c>
      <c r="B8" s="17" t="s">
        <v>234</v>
      </c>
      <c r="C8" s="18" t="s">
        <v>235</v>
      </c>
      <c r="D8" s="18" t="s">
        <v>236</v>
      </c>
      <c r="E8" s="18" t="s">
        <v>237</v>
      </c>
      <c r="F8" s="18" t="s">
        <v>238</v>
      </c>
      <c r="G8" s="18" t="s">
        <v>239</v>
      </c>
    </row>
    <row r="9" spans="1:7" ht="96" customHeight="1" x14ac:dyDescent="0.5">
      <c r="A9" s="19" t="s">
        <v>240</v>
      </c>
      <c r="B9" s="20" t="s">
        <v>241</v>
      </c>
      <c r="C9" s="21" t="s">
        <v>242</v>
      </c>
      <c r="D9" s="21" t="s">
        <v>243</v>
      </c>
      <c r="E9" s="21" t="s">
        <v>244</v>
      </c>
      <c r="F9" s="21" t="s">
        <v>245</v>
      </c>
      <c r="G9" s="21" t="s">
        <v>246</v>
      </c>
    </row>
    <row r="10" spans="1:7" ht="96" customHeight="1" x14ac:dyDescent="0.5">
      <c r="A10" s="22" t="s">
        <v>247</v>
      </c>
      <c r="B10" s="23" t="s">
        <v>248</v>
      </c>
      <c r="C10" s="24" t="s">
        <v>249</v>
      </c>
      <c r="D10" s="24" t="s">
        <v>250</v>
      </c>
      <c r="E10" s="24" t="s">
        <v>251</v>
      </c>
      <c r="F10" s="24" t="s">
        <v>252</v>
      </c>
      <c r="G10" s="24" t="s">
        <v>253</v>
      </c>
    </row>
    <row r="11" spans="1:7" ht="96" customHeight="1" x14ac:dyDescent="0.5">
      <c r="A11" s="25" t="s">
        <v>254</v>
      </c>
      <c r="B11" s="26" t="s">
        <v>255</v>
      </c>
      <c r="C11" s="27" t="s">
        <v>256</v>
      </c>
      <c r="D11" s="27" t="s">
        <v>257</v>
      </c>
      <c r="E11" s="27" t="s">
        <v>258</v>
      </c>
      <c r="F11" s="27" t="s">
        <v>259</v>
      </c>
      <c r="G11" s="27" t="s">
        <v>260</v>
      </c>
    </row>
  </sheetData>
  <mergeCells count="3">
    <mergeCell ref="A6:G6"/>
    <mergeCell ref="A1:G2"/>
    <mergeCell ref="A4:G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showGridLines="0" zoomScaleNormal="100" workbookViewId="0">
      <pane ySplit="7" topLeftCell="A14" activePane="bottomLeft" state="frozen"/>
      <selection pane="bottomLeft" activeCell="C13" sqref="C13"/>
    </sheetView>
  </sheetViews>
  <sheetFormatPr baseColWidth="10" defaultColWidth="8.703125" defaultRowHeight="14.35" x14ac:dyDescent="0.5"/>
  <cols>
    <col min="1" max="1" width="28" customWidth="1"/>
    <col min="2" max="2" width="9" customWidth="1"/>
    <col min="3" max="3" width="45" customWidth="1"/>
    <col min="4" max="4" width="50" customWidth="1"/>
    <col min="5" max="5" width="14" customWidth="1"/>
    <col min="6" max="8" width="10" customWidth="1"/>
  </cols>
  <sheetData>
    <row r="1" spans="1:8" ht="25.5" customHeight="1" x14ac:dyDescent="0.5">
      <c r="A1" s="76" t="s">
        <v>261</v>
      </c>
      <c r="B1" s="70"/>
      <c r="C1" s="70"/>
      <c r="D1" s="70"/>
      <c r="E1" s="70"/>
      <c r="F1" s="28"/>
      <c r="G1" s="28"/>
      <c r="H1" s="28"/>
    </row>
    <row r="2" spans="1:8" ht="25.5" customHeight="1" x14ac:dyDescent="0.5">
      <c r="A2" s="70"/>
      <c r="B2" s="70"/>
      <c r="C2" s="70"/>
      <c r="D2" s="70"/>
      <c r="E2" s="70"/>
      <c r="F2" s="28"/>
      <c r="G2" s="28"/>
      <c r="H2" s="28"/>
    </row>
    <row r="3" spans="1:8" ht="14.25" customHeight="1" x14ac:dyDescent="0.5">
      <c r="A3" s="28"/>
      <c r="B3" s="28"/>
      <c r="C3" s="28"/>
      <c r="D3" s="28"/>
      <c r="E3" s="28"/>
      <c r="F3" s="28"/>
      <c r="G3" s="28"/>
      <c r="H3" s="28"/>
    </row>
    <row r="4" spans="1:8" ht="78" customHeight="1" x14ac:dyDescent="0.5">
      <c r="A4" s="80" t="s">
        <v>262</v>
      </c>
      <c r="B4" s="79"/>
      <c r="C4" s="79"/>
      <c r="D4" s="79"/>
      <c r="E4" s="79"/>
      <c r="F4" s="28"/>
      <c r="G4" s="28"/>
      <c r="H4" s="28"/>
    </row>
    <row r="5" spans="1:8" ht="14.25" customHeight="1" x14ac:dyDescent="0.5">
      <c r="A5" s="28"/>
      <c r="B5" s="28"/>
      <c r="C5" s="28"/>
      <c r="D5" s="28"/>
      <c r="E5" s="28"/>
      <c r="F5" s="28"/>
      <c r="G5" s="28"/>
      <c r="H5" s="28"/>
    </row>
    <row r="6" spans="1:8" ht="21.75" customHeight="1" x14ac:dyDescent="0.5">
      <c r="A6" s="88" t="s">
        <v>263</v>
      </c>
      <c r="B6" s="70"/>
      <c r="C6" s="70"/>
      <c r="D6" s="70"/>
      <c r="E6" s="70"/>
      <c r="F6" s="28"/>
      <c r="G6" s="28"/>
      <c r="H6" s="28"/>
    </row>
    <row r="7" spans="1:8" ht="31.5" customHeight="1" x14ac:dyDescent="0.5">
      <c r="A7" s="1" t="s">
        <v>125</v>
      </c>
      <c r="B7" s="1" t="s">
        <v>264</v>
      </c>
      <c r="C7" s="1" t="s">
        <v>265</v>
      </c>
      <c r="D7" s="1" t="s">
        <v>266</v>
      </c>
      <c r="E7" s="1" t="s">
        <v>267</v>
      </c>
      <c r="F7" s="28"/>
      <c r="G7" s="28"/>
      <c r="H7" s="28"/>
    </row>
    <row r="8" spans="1:8" ht="73.5" customHeight="1" x14ac:dyDescent="0.5">
      <c r="A8" s="29" t="s">
        <v>268</v>
      </c>
      <c r="B8" s="3" t="s">
        <v>269</v>
      </c>
      <c r="C8" s="5" t="s">
        <v>270</v>
      </c>
      <c r="D8" s="5" t="s">
        <v>271</v>
      </c>
      <c r="E8" s="19" t="s">
        <v>240</v>
      </c>
      <c r="F8" s="28"/>
      <c r="G8" s="28"/>
      <c r="H8" s="28"/>
    </row>
    <row r="9" spans="1:8" ht="55.5" customHeight="1" x14ac:dyDescent="0.5">
      <c r="A9" s="87" t="s">
        <v>272</v>
      </c>
      <c r="B9" s="31" t="s">
        <v>273</v>
      </c>
      <c r="C9" s="57" t="s">
        <v>274</v>
      </c>
      <c r="D9" s="32" t="s">
        <v>275</v>
      </c>
      <c r="E9" s="19" t="s">
        <v>240</v>
      </c>
      <c r="F9" s="28"/>
      <c r="G9" s="28"/>
      <c r="H9" s="28"/>
    </row>
    <row r="10" spans="1:8" ht="45" customHeight="1" x14ac:dyDescent="0.5">
      <c r="A10" s="84"/>
      <c r="B10" s="31" t="s">
        <v>276</v>
      </c>
      <c r="C10" s="32" t="s">
        <v>277</v>
      </c>
      <c r="D10" s="32" t="s">
        <v>278</v>
      </c>
      <c r="E10" s="22" t="s">
        <v>247</v>
      </c>
      <c r="F10" s="28"/>
      <c r="G10" s="28"/>
      <c r="H10" s="28"/>
    </row>
    <row r="11" spans="1:8" ht="73.5" customHeight="1" x14ac:dyDescent="0.5">
      <c r="A11" s="89" t="s">
        <v>279</v>
      </c>
      <c r="B11" s="3" t="s">
        <v>280</v>
      </c>
      <c r="C11" s="5" t="s">
        <v>281</v>
      </c>
      <c r="D11" s="5" t="s">
        <v>282</v>
      </c>
      <c r="E11" s="19" t="s">
        <v>240</v>
      </c>
      <c r="F11" s="28"/>
      <c r="G11" s="28"/>
      <c r="H11" s="28"/>
    </row>
    <row r="12" spans="1:8" ht="73.5" customHeight="1" x14ac:dyDescent="0.5">
      <c r="A12" s="84"/>
      <c r="B12" s="3" t="s">
        <v>283</v>
      </c>
      <c r="C12" s="5" t="s">
        <v>284</v>
      </c>
      <c r="D12" s="5" t="s">
        <v>285</v>
      </c>
      <c r="E12" s="19" t="s">
        <v>240</v>
      </c>
      <c r="F12" s="28"/>
      <c r="G12" s="28"/>
      <c r="H12" s="28"/>
    </row>
    <row r="13" spans="1:8" ht="91.5" customHeight="1" x14ac:dyDescent="0.5">
      <c r="A13" s="30" t="s">
        <v>286</v>
      </c>
      <c r="B13" s="31" t="s">
        <v>287</v>
      </c>
      <c r="C13" s="32" t="s">
        <v>288</v>
      </c>
      <c r="D13" s="32" t="s">
        <v>289</v>
      </c>
      <c r="E13" s="16" t="s">
        <v>233</v>
      </c>
      <c r="F13" s="28"/>
      <c r="G13" s="28"/>
      <c r="H13" s="28"/>
    </row>
    <row r="14" spans="1:8" ht="91.5" customHeight="1" x14ac:dyDescent="0.5">
      <c r="A14" s="29" t="s">
        <v>290</v>
      </c>
      <c r="B14" s="3" t="s">
        <v>291</v>
      </c>
      <c r="C14" s="5" t="s">
        <v>292</v>
      </c>
      <c r="D14" s="5" t="s">
        <v>293</v>
      </c>
      <c r="E14" s="19" t="s">
        <v>240</v>
      </c>
      <c r="F14" s="28"/>
      <c r="G14" s="28"/>
      <c r="H14" s="28"/>
    </row>
    <row r="15" spans="1:8" ht="91.5" customHeight="1" x14ac:dyDescent="0.5">
      <c r="A15" s="30" t="s">
        <v>294</v>
      </c>
      <c r="B15" s="56" t="s">
        <v>295</v>
      </c>
      <c r="C15" s="32" t="s">
        <v>296</v>
      </c>
      <c r="D15" s="32" t="s">
        <v>297</v>
      </c>
      <c r="E15" s="16" t="s">
        <v>233</v>
      </c>
      <c r="F15" s="28"/>
      <c r="G15" s="28"/>
      <c r="H15" s="28"/>
    </row>
    <row r="17" spans="1:5" ht="37.5" customHeight="1" x14ac:dyDescent="0.5">
      <c r="A17" s="80" t="s">
        <v>298</v>
      </c>
      <c r="B17" s="79"/>
      <c r="C17" s="79"/>
      <c r="D17" s="79"/>
      <c r="E17" s="79"/>
    </row>
  </sheetData>
  <mergeCells count="6">
    <mergeCell ref="A4:E4"/>
    <mergeCell ref="A9:A10"/>
    <mergeCell ref="A1:E2"/>
    <mergeCell ref="A6:E6"/>
    <mergeCell ref="A17:E17"/>
    <mergeCell ref="A11:A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
  <sheetViews>
    <sheetView showGridLines="0" zoomScaleNormal="100" workbookViewId="0">
      <pane ySplit="3" topLeftCell="A25" activePane="bottomLeft" state="frozen"/>
      <selection pane="bottomLeft" activeCell="A4" sqref="A4:E4"/>
    </sheetView>
  </sheetViews>
  <sheetFormatPr baseColWidth="10" defaultColWidth="8.703125" defaultRowHeight="14.35" x14ac:dyDescent="0.5"/>
  <cols>
    <col min="1" max="2" width="22" customWidth="1"/>
    <col min="3" max="3" width="24" customWidth="1"/>
    <col min="4" max="5" width="22" customWidth="1"/>
  </cols>
  <sheetData>
    <row r="1" spans="1:5" ht="25.5" customHeight="1" x14ac:dyDescent="0.5">
      <c r="A1" s="76" t="s">
        <v>299</v>
      </c>
      <c r="B1" s="70"/>
      <c r="C1" s="70"/>
      <c r="D1" s="70"/>
      <c r="E1" s="70"/>
    </row>
    <row r="2" spans="1:5" ht="25.5" customHeight="1" x14ac:dyDescent="0.5">
      <c r="A2" s="70"/>
      <c r="B2" s="70"/>
      <c r="C2" s="70"/>
      <c r="D2" s="70"/>
      <c r="E2" s="70"/>
    </row>
    <row r="4" spans="1:5" ht="84" customHeight="1" x14ac:dyDescent="0.5">
      <c r="A4" s="78" t="s">
        <v>300</v>
      </c>
      <c r="B4" s="79"/>
      <c r="C4" s="79"/>
      <c r="D4" s="79"/>
      <c r="E4" s="79"/>
    </row>
    <row r="6" spans="1:5" ht="21.75" customHeight="1" x14ac:dyDescent="0.5">
      <c r="A6" s="88" t="s">
        <v>301</v>
      </c>
      <c r="B6" s="70"/>
      <c r="C6" s="70"/>
      <c r="D6" s="70"/>
      <c r="E6" s="70"/>
    </row>
    <row r="8" spans="1:5" ht="27.75" customHeight="1" x14ac:dyDescent="0.5">
      <c r="B8" s="95" t="s">
        <v>302</v>
      </c>
      <c r="C8" s="79"/>
      <c r="D8" s="79"/>
      <c r="E8" s="79"/>
    </row>
    <row r="9" spans="1:5" ht="36" customHeight="1" x14ac:dyDescent="0.5">
      <c r="A9" s="33" t="s">
        <v>303</v>
      </c>
      <c r="B9" s="13" t="s">
        <v>304</v>
      </c>
      <c r="C9" s="13" t="s">
        <v>305</v>
      </c>
      <c r="D9" s="13" t="s">
        <v>306</v>
      </c>
      <c r="E9" s="13" t="s">
        <v>307</v>
      </c>
    </row>
    <row r="10" spans="1:5" ht="36" customHeight="1" x14ac:dyDescent="0.5">
      <c r="A10" s="13" t="s">
        <v>308</v>
      </c>
      <c r="B10" s="22" t="s">
        <v>309</v>
      </c>
      <c r="C10" s="19" t="s">
        <v>310</v>
      </c>
      <c r="D10" s="16" t="s">
        <v>311</v>
      </c>
      <c r="E10" s="16" t="s">
        <v>311</v>
      </c>
    </row>
    <row r="11" spans="1:5" ht="36" customHeight="1" x14ac:dyDescent="0.5">
      <c r="A11" s="13" t="s">
        <v>312</v>
      </c>
      <c r="B11" s="22" t="s">
        <v>309</v>
      </c>
      <c r="C11" s="19" t="s">
        <v>310</v>
      </c>
      <c r="D11" s="19" t="s">
        <v>310</v>
      </c>
      <c r="E11" s="16" t="s">
        <v>311</v>
      </c>
    </row>
    <row r="12" spans="1:5" ht="36" customHeight="1" x14ac:dyDescent="0.5">
      <c r="A12" s="13" t="s">
        <v>313</v>
      </c>
      <c r="B12" s="25" t="s">
        <v>314</v>
      </c>
      <c r="C12" s="22" t="s">
        <v>309</v>
      </c>
      <c r="D12" s="19" t="s">
        <v>310</v>
      </c>
      <c r="E12" s="19" t="s">
        <v>310</v>
      </c>
    </row>
    <row r="13" spans="1:5" ht="36" customHeight="1" x14ac:dyDescent="0.5">
      <c r="A13" s="13" t="s">
        <v>315</v>
      </c>
      <c r="B13" s="25" t="s">
        <v>314</v>
      </c>
      <c r="C13" s="25" t="s">
        <v>314</v>
      </c>
      <c r="D13" s="22" t="s">
        <v>309</v>
      </c>
      <c r="E13" s="22" t="s">
        <v>309</v>
      </c>
    </row>
    <row r="15" spans="1:5" ht="21.75" customHeight="1" x14ac:dyDescent="0.5">
      <c r="A15" s="88" t="s">
        <v>316</v>
      </c>
      <c r="B15" s="70"/>
      <c r="C15" s="70"/>
      <c r="D15" s="70"/>
      <c r="E15" s="70"/>
    </row>
    <row r="16" spans="1:5" ht="25.5" customHeight="1" x14ac:dyDescent="0.5">
      <c r="A16" s="1" t="s">
        <v>226</v>
      </c>
      <c r="B16" s="93" t="s">
        <v>317</v>
      </c>
      <c r="C16" s="79"/>
      <c r="D16" s="79"/>
      <c r="E16" s="94"/>
    </row>
    <row r="17" spans="1:5" ht="42" customHeight="1" x14ac:dyDescent="0.5">
      <c r="A17" s="3" t="s">
        <v>308</v>
      </c>
      <c r="B17" s="91" t="s">
        <v>318</v>
      </c>
      <c r="C17" s="79"/>
      <c r="D17" s="79"/>
      <c r="E17" s="79"/>
    </row>
    <row r="18" spans="1:5" ht="42" customHeight="1" x14ac:dyDescent="0.5">
      <c r="A18" s="3" t="s">
        <v>312</v>
      </c>
      <c r="B18" s="92" t="s">
        <v>319</v>
      </c>
      <c r="C18" s="79"/>
      <c r="D18" s="79"/>
      <c r="E18" s="79"/>
    </row>
    <row r="19" spans="1:5" ht="42" customHeight="1" x14ac:dyDescent="0.5">
      <c r="A19" s="3" t="s">
        <v>313</v>
      </c>
      <c r="B19" s="91" t="s">
        <v>320</v>
      </c>
      <c r="C19" s="79"/>
      <c r="D19" s="79"/>
      <c r="E19" s="79"/>
    </row>
    <row r="20" spans="1:5" ht="42" customHeight="1" x14ac:dyDescent="0.5">
      <c r="A20" s="3" t="s">
        <v>315</v>
      </c>
      <c r="B20" s="92" t="s">
        <v>321</v>
      </c>
      <c r="C20" s="79"/>
      <c r="D20" s="79"/>
      <c r="E20" s="79"/>
    </row>
    <row r="22" spans="1:5" ht="21.75" customHeight="1" x14ac:dyDescent="0.5">
      <c r="A22" s="88" t="s">
        <v>322</v>
      </c>
      <c r="B22" s="70"/>
      <c r="C22" s="70"/>
      <c r="D22" s="70"/>
      <c r="E22" s="70"/>
    </row>
    <row r="23" spans="1:5" ht="25.5" customHeight="1" x14ac:dyDescent="0.5">
      <c r="A23" s="1" t="s">
        <v>226</v>
      </c>
      <c r="B23" s="93" t="s">
        <v>317</v>
      </c>
      <c r="C23" s="79"/>
      <c r="D23" s="79"/>
      <c r="E23" s="94"/>
    </row>
    <row r="24" spans="1:5" ht="48" customHeight="1" x14ac:dyDescent="0.5">
      <c r="A24" s="3" t="s">
        <v>304</v>
      </c>
      <c r="B24" s="91" t="s">
        <v>323</v>
      </c>
      <c r="C24" s="79"/>
      <c r="D24" s="79"/>
      <c r="E24" s="79"/>
    </row>
    <row r="25" spans="1:5" ht="48" customHeight="1" x14ac:dyDescent="0.5">
      <c r="A25" s="3" t="s">
        <v>305</v>
      </c>
      <c r="B25" s="92" t="s">
        <v>324</v>
      </c>
      <c r="C25" s="79"/>
      <c r="D25" s="79"/>
      <c r="E25" s="79"/>
    </row>
    <row r="26" spans="1:5" ht="48" customHeight="1" x14ac:dyDescent="0.5">
      <c r="A26" s="3" t="s">
        <v>306</v>
      </c>
      <c r="B26" s="91" t="s">
        <v>325</v>
      </c>
      <c r="C26" s="79"/>
      <c r="D26" s="79"/>
      <c r="E26" s="79"/>
    </row>
    <row r="27" spans="1:5" ht="48" customHeight="1" x14ac:dyDescent="0.5">
      <c r="A27" s="3" t="s">
        <v>307</v>
      </c>
      <c r="B27" s="92" t="s">
        <v>326</v>
      </c>
      <c r="C27" s="79"/>
      <c r="D27" s="79"/>
      <c r="E27" s="79"/>
    </row>
    <row r="29" spans="1:5" ht="21.75" customHeight="1" x14ac:dyDescent="0.5">
      <c r="A29" s="88" t="s">
        <v>327</v>
      </c>
      <c r="B29" s="70"/>
      <c r="C29" s="70"/>
      <c r="D29" s="70"/>
      <c r="E29" s="70"/>
    </row>
    <row r="30" spans="1:5" ht="25.5" customHeight="1" x14ac:dyDescent="0.5">
      <c r="A30" s="1" t="s">
        <v>328</v>
      </c>
      <c r="B30" s="93" t="s">
        <v>329</v>
      </c>
      <c r="C30" s="94"/>
      <c r="D30" s="93" t="s">
        <v>330</v>
      </c>
      <c r="E30" s="94"/>
    </row>
    <row r="31" spans="1:5" ht="37.5" customHeight="1" x14ac:dyDescent="0.5">
      <c r="A31" s="25" t="s">
        <v>314</v>
      </c>
      <c r="B31" s="91" t="s">
        <v>331</v>
      </c>
      <c r="C31" s="79"/>
      <c r="D31" s="90" t="s">
        <v>332</v>
      </c>
      <c r="E31" s="79"/>
    </row>
    <row r="32" spans="1:5" ht="37.5" customHeight="1" x14ac:dyDescent="0.5">
      <c r="A32" s="22" t="s">
        <v>309</v>
      </c>
      <c r="B32" s="91" t="s">
        <v>333</v>
      </c>
      <c r="C32" s="79"/>
      <c r="D32" s="90" t="s">
        <v>334</v>
      </c>
      <c r="E32" s="79"/>
    </row>
    <row r="33" spans="1:5" ht="37.5" customHeight="1" x14ac:dyDescent="0.5">
      <c r="A33" s="19" t="s">
        <v>310</v>
      </c>
      <c r="B33" s="91" t="s">
        <v>335</v>
      </c>
      <c r="C33" s="79"/>
      <c r="D33" s="90" t="s">
        <v>336</v>
      </c>
      <c r="E33" s="79"/>
    </row>
    <row r="34" spans="1:5" ht="37.5" customHeight="1" x14ac:dyDescent="0.5">
      <c r="A34" s="16" t="s">
        <v>311</v>
      </c>
      <c r="B34" s="91" t="s">
        <v>337</v>
      </c>
      <c r="C34" s="79"/>
      <c r="D34" s="90" t="s">
        <v>336</v>
      </c>
      <c r="E34" s="79"/>
    </row>
  </sheetData>
  <mergeCells count="27">
    <mergeCell ref="A1:E2"/>
    <mergeCell ref="A22:E22"/>
    <mergeCell ref="B17:E17"/>
    <mergeCell ref="A29:E29"/>
    <mergeCell ref="B30:C30"/>
    <mergeCell ref="B23:E23"/>
    <mergeCell ref="D30:E30"/>
    <mergeCell ref="A4:E4"/>
    <mergeCell ref="B8:E8"/>
    <mergeCell ref="B19:E19"/>
    <mergeCell ref="A6:E6"/>
    <mergeCell ref="D31:E31"/>
    <mergeCell ref="B26:E26"/>
    <mergeCell ref="B16:E16"/>
    <mergeCell ref="D32:E32"/>
    <mergeCell ref="B25:E25"/>
    <mergeCell ref="B18:E18"/>
    <mergeCell ref="B27:E27"/>
    <mergeCell ref="B32:C32"/>
    <mergeCell ref="A15:E15"/>
    <mergeCell ref="D34:E34"/>
    <mergeCell ref="B24:E24"/>
    <mergeCell ref="B31:C31"/>
    <mergeCell ref="B20:E20"/>
    <mergeCell ref="B34:C34"/>
    <mergeCell ref="B33:C33"/>
    <mergeCell ref="D33:E3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showGridLines="0" zoomScaleNormal="100" workbookViewId="0">
      <pane ySplit="7" topLeftCell="A10" activePane="bottomLeft" state="frozen"/>
      <selection pane="bottomLeft" activeCell="C10" sqref="C10"/>
    </sheetView>
  </sheetViews>
  <sheetFormatPr baseColWidth="10" defaultColWidth="8.703125" defaultRowHeight="14.35" x14ac:dyDescent="0.5"/>
  <cols>
    <col min="1" max="1" width="8" customWidth="1"/>
    <col min="2" max="2" width="32" customWidth="1"/>
    <col min="3" max="3" width="14" customWidth="1"/>
    <col min="4" max="4" width="60" customWidth="1"/>
    <col min="5" max="5" width="22" customWidth="1"/>
  </cols>
  <sheetData>
    <row r="1" spans="1:5" ht="25.5" customHeight="1" x14ac:dyDescent="0.5">
      <c r="A1" s="76" t="s">
        <v>338</v>
      </c>
      <c r="B1" s="70"/>
      <c r="C1" s="70"/>
      <c r="D1" s="70"/>
      <c r="E1" s="70"/>
    </row>
    <row r="2" spans="1:5" ht="25.5" customHeight="1" x14ac:dyDescent="0.5">
      <c r="A2" s="70"/>
      <c r="B2" s="70"/>
      <c r="C2" s="70"/>
      <c r="D2" s="70"/>
      <c r="E2" s="70"/>
    </row>
    <row r="4" spans="1:5" ht="90" customHeight="1" x14ac:dyDescent="0.5">
      <c r="A4" s="78" t="s">
        <v>339</v>
      </c>
      <c r="B4" s="79"/>
      <c r="C4" s="79"/>
      <c r="D4" s="79"/>
      <c r="E4" s="79"/>
    </row>
    <row r="6" spans="1:5" ht="21.75" customHeight="1" x14ac:dyDescent="0.5">
      <c r="A6" s="88" t="s">
        <v>340</v>
      </c>
      <c r="B6" s="70"/>
      <c r="C6" s="70"/>
      <c r="D6" s="70"/>
      <c r="E6" s="70"/>
    </row>
    <row r="7" spans="1:5" ht="31.5" customHeight="1" x14ac:dyDescent="0.5">
      <c r="A7" s="1" t="s">
        <v>341</v>
      </c>
      <c r="B7" s="1" t="s">
        <v>227</v>
      </c>
      <c r="C7" s="1" t="s">
        <v>342</v>
      </c>
      <c r="D7" s="1" t="s">
        <v>343</v>
      </c>
      <c r="E7" s="1" t="s">
        <v>344</v>
      </c>
    </row>
    <row r="8" spans="1:5" ht="99.75" customHeight="1" x14ac:dyDescent="0.5">
      <c r="A8" s="3" t="s">
        <v>345</v>
      </c>
      <c r="B8" s="34" t="s">
        <v>346</v>
      </c>
      <c r="C8" s="10" t="s">
        <v>172</v>
      </c>
      <c r="D8" s="5" t="s">
        <v>347</v>
      </c>
      <c r="E8" s="5" t="s">
        <v>348</v>
      </c>
    </row>
    <row r="9" spans="1:5" ht="99.75" customHeight="1" x14ac:dyDescent="0.5">
      <c r="A9" s="7" t="s">
        <v>349</v>
      </c>
      <c r="B9" s="35" t="s">
        <v>350</v>
      </c>
      <c r="C9" s="11" t="s">
        <v>351</v>
      </c>
      <c r="D9" s="8" t="s">
        <v>352</v>
      </c>
      <c r="E9" s="8" t="s">
        <v>353</v>
      </c>
    </row>
    <row r="10" spans="1:5" ht="99.75" customHeight="1" x14ac:dyDescent="0.5">
      <c r="A10" s="3" t="s">
        <v>354</v>
      </c>
      <c r="B10" s="34" t="s">
        <v>355</v>
      </c>
      <c r="C10" s="10" t="s">
        <v>351</v>
      </c>
      <c r="D10" s="5" t="s">
        <v>356</v>
      </c>
      <c r="E10" s="5" t="s">
        <v>357</v>
      </c>
    </row>
    <row r="11" spans="1:5" ht="99.75" customHeight="1" x14ac:dyDescent="0.5">
      <c r="A11" s="7" t="s">
        <v>358</v>
      </c>
      <c r="B11" s="35" t="s">
        <v>359</v>
      </c>
      <c r="C11" s="11" t="s">
        <v>351</v>
      </c>
      <c r="D11" s="8" t="s">
        <v>360</v>
      </c>
      <c r="E11" s="8" t="s">
        <v>361</v>
      </c>
    </row>
    <row r="12" spans="1:5" ht="99.75" customHeight="1" x14ac:dyDescent="0.5">
      <c r="A12" s="3" t="s">
        <v>362</v>
      </c>
      <c r="B12" s="34" t="s">
        <v>363</v>
      </c>
      <c r="C12" s="10" t="s">
        <v>364</v>
      </c>
      <c r="D12" s="5" t="s">
        <v>365</v>
      </c>
      <c r="E12" s="5" t="s">
        <v>366</v>
      </c>
    </row>
  </sheetData>
  <mergeCells count="3">
    <mergeCell ref="A6:E6"/>
    <mergeCell ref="A4:E4"/>
    <mergeCell ref="A1: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6"/>
  <sheetViews>
    <sheetView showGridLines="0" zoomScale="70" zoomScaleNormal="70" workbookViewId="0">
      <pane ySplit="7" topLeftCell="A8" activePane="bottomLeft" state="frozen"/>
      <selection pane="bottomLeft" activeCell="A4" sqref="A4:H4"/>
    </sheetView>
  </sheetViews>
  <sheetFormatPr baseColWidth="10" defaultColWidth="8.703125" defaultRowHeight="14.35" x14ac:dyDescent="0.5"/>
  <cols>
    <col min="1" max="1" width="9" customWidth="1"/>
    <col min="2" max="2" width="28" customWidth="1"/>
    <col min="3" max="3" width="38" customWidth="1"/>
    <col min="4" max="4" width="20" customWidth="1"/>
    <col min="5" max="6" width="24" customWidth="1"/>
    <col min="7" max="8" width="16" customWidth="1"/>
  </cols>
  <sheetData>
    <row r="1" spans="1:8" ht="25.5" customHeight="1" x14ac:dyDescent="0.5">
      <c r="A1" s="76" t="s">
        <v>367</v>
      </c>
      <c r="B1" s="70"/>
      <c r="C1" s="70"/>
      <c r="D1" s="70"/>
      <c r="E1" s="70"/>
      <c r="F1" s="70"/>
      <c r="G1" s="70"/>
      <c r="H1" s="70"/>
    </row>
    <row r="2" spans="1:8" ht="25.5" customHeight="1" x14ac:dyDescent="0.5">
      <c r="A2" s="70"/>
      <c r="B2" s="70"/>
      <c r="C2" s="70"/>
      <c r="D2" s="70"/>
      <c r="E2" s="70"/>
      <c r="F2" s="70"/>
      <c r="G2" s="70"/>
      <c r="H2" s="70"/>
    </row>
    <row r="4" spans="1:8" ht="90" customHeight="1" x14ac:dyDescent="0.5">
      <c r="A4" s="78" t="s">
        <v>368</v>
      </c>
      <c r="B4" s="79"/>
      <c r="C4" s="79"/>
      <c r="D4" s="79"/>
      <c r="E4" s="79"/>
      <c r="F4" s="79"/>
      <c r="G4" s="79"/>
      <c r="H4" s="79"/>
    </row>
    <row r="6" spans="1:8" ht="21.75" customHeight="1" x14ac:dyDescent="0.5">
      <c r="A6" s="88" t="s">
        <v>369</v>
      </c>
      <c r="B6" s="70"/>
      <c r="C6" s="70"/>
      <c r="D6" s="70"/>
      <c r="E6" s="70"/>
      <c r="F6" s="70"/>
      <c r="G6" s="70"/>
      <c r="H6" s="70"/>
    </row>
    <row r="7" spans="1:8" ht="36" customHeight="1" x14ac:dyDescent="0.5">
      <c r="A7" s="1" t="s">
        <v>370</v>
      </c>
      <c r="B7" s="1" t="s">
        <v>371</v>
      </c>
      <c r="C7" s="1" t="s">
        <v>372</v>
      </c>
      <c r="D7" s="1" t="s">
        <v>373</v>
      </c>
      <c r="E7" s="1" t="s">
        <v>374</v>
      </c>
      <c r="F7" s="1" t="s">
        <v>375</v>
      </c>
      <c r="G7" s="1" t="s">
        <v>376</v>
      </c>
      <c r="H7" s="1" t="s">
        <v>377</v>
      </c>
    </row>
    <row r="8" spans="1:8" ht="55.5" customHeight="1" x14ac:dyDescent="0.5">
      <c r="A8" s="3" t="s">
        <v>378</v>
      </c>
      <c r="B8" s="5" t="s">
        <v>379</v>
      </c>
      <c r="C8" s="5" t="s">
        <v>380</v>
      </c>
      <c r="D8" s="10" t="s">
        <v>308</v>
      </c>
      <c r="E8" s="10" t="s">
        <v>305</v>
      </c>
      <c r="F8" s="3" t="str">
        <f>IFERROR(INDEX('A2.0 Échelle de pertinence'!$B$10:$E$13,MATCH(D8,'A2.0 Échelle de pertinence'!$A$10:$A$13,0),MATCH(E8,'A2.0 Échelle de pertinence'!$B$9:$E$9,0)),"")</f>
        <v>Plutôt pertinent</v>
      </c>
      <c r="G8" s="3" t="s">
        <v>336</v>
      </c>
      <c r="H8" s="3" t="s">
        <v>269</v>
      </c>
    </row>
    <row r="9" spans="1:8" ht="55.5" customHeight="1" x14ac:dyDescent="0.5">
      <c r="A9" s="7" t="s">
        <v>381</v>
      </c>
      <c r="B9" s="8" t="s">
        <v>379</v>
      </c>
      <c r="C9" s="8" t="s">
        <v>382</v>
      </c>
      <c r="D9" s="11" t="s">
        <v>313</v>
      </c>
      <c r="E9" s="11" t="s">
        <v>305</v>
      </c>
      <c r="F9" s="3" t="str">
        <f>IFERROR(INDEX('A2.0 Échelle de pertinence'!$B$10:$E$13,MATCH(D9,'A2.0 Échelle de pertinence'!$A$10:$A$13,0),MATCH(E9,'A2.0 Échelle de pertinence'!$B$9:$E$9,0)),"")</f>
        <v>Moyennement pertinent</v>
      </c>
      <c r="G9" s="7" t="s">
        <v>334</v>
      </c>
      <c r="H9" s="7" t="s">
        <v>383</v>
      </c>
    </row>
    <row r="10" spans="1:8" ht="55.5" customHeight="1" x14ac:dyDescent="0.5">
      <c r="A10" s="3" t="s">
        <v>384</v>
      </c>
      <c r="B10" s="5" t="s">
        <v>385</v>
      </c>
      <c r="C10" s="5" t="s">
        <v>386</v>
      </c>
      <c r="D10" s="10" t="s">
        <v>308</v>
      </c>
      <c r="E10" s="10" t="s">
        <v>306</v>
      </c>
      <c r="F10" s="3" t="str">
        <f>IFERROR(INDEX('A2.0 Échelle de pertinence'!$B$10:$E$13,MATCH(D10,'A2.0 Échelle de pertinence'!$A$10:$A$13,0),MATCH(E10,'A2.0 Échelle de pertinence'!$B$9:$E$9,0)),"")</f>
        <v>Très pertinent</v>
      </c>
      <c r="G10" s="3" t="s">
        <v>336</v>
      </c>
      <c r="H10" s="3" t="s">
        <v>387</v>
      </c>
    </row>
    <row r="11" spans="1:8" ht="55.5" customHeight="1" x14ac:dyDescent="0.5">
      <c r="A11" s="7" t="s">
        <v>388</v>
      </c>
      <c r="B11" s="8" t="s">
        <v>385</v>
      </c>
      <c r="C11" s="8" t="s">
        <v>389</v>
      </c>
      <c r="D11" s="11" t="s">
        <v>312</v>
      </c>
      <c r="E11" s="11" t="s">
        <v>306</v>
      </c>
      <c r="F11" s="3" t="str">
        <f>IFERROR(INDEX('A2.0 Échelle de pertinence'!$B$10:$E$13,MATCH(D11,'A2.0 Échelle de pertinence'!$A$10:$A$13,0),MATCH(E11,'A2.0 Échelle de pertinence'!$B$9:$E$9,0)),"")</f>
        <v>Plutôt pertinent</v>
      </c>
      <c r="G11" s="7" t="s">
        <v>336</v>
      </c>
      <c r="H11" s="7" t="s">
        <v>287</v>
      </c>
    </row>
    <row r="12" spans="1:8" ht="55.5" customHeight="1" x14ac:dyDescent="0.5">
      <c r="A12" s="3" t="s">
        <v>390</v>
      </c>
      <c r="B12" s="5" t="s">
        <v>391</v>
      </c>
      <c r="C12" s="5" t="s">
        <v>392</v>
      </c>
      <c r="D12" s="10" t="s">
        <v>312</v>
      </c>
      <c r="E12" s="10" t="s">
        <v>307</v>
      </c>
      <c r="F12" s="3" t="str">
        <f>IFERROR(INDEX('A2.0 Échelle de pertinence'!$B$10:$E$13,MATCH(D12,'A2.0 Échelle de pertinence'!$A$10:$A$13,0),MATCH(E12,'A2.0 Échelle de pertinence'!$B$9:$E$9,0)),"")</f>
        <v>Très pertinent</v>
      </c>
      <c r="G12" s="3" t="s">
        <v>336</v>
      </c>
      <c r="H12" s="3" t="s">
        <v>280</v>
      </c>
    </row>
    <row r="13" spans="1:8" ht="55.5" customHeight="1" x14ac:dyDescent="0.5">
      <c r="A13" s="7" t="s">
        <v>393</v>
      </c>
      <c r="B13" s="8" t="s">
        <v>394</v>
      </c>
      <c r="C13" s="8" t="s">
        <v>395</v>
      </c>
      <c r="D13" s="11" t="s">
        <v>313</v>
      </c>
      <c r="E13" s="11" t="s">
        <v>305</v>
      </c>
      <c r="F13" s="3" t="str">
        <f>IFERROR(INDEX('A2.0 Échelle de pertinence'!$B$10:$E$13,MATCH(D13,'A2.0 Échelle de pertinence'!$A$10:$A$13,0),MATCH(E13,'A2.0 Échelle de pertinence'!$B$9:$E$9,0)),"")</f>
        <v>Moyennement pertinent</v>
      </c>
      <c r="G13" s="7" t="s">
        <v>334</v>
      </c>
      <c r="H13" s="7" t="s">
        <v>287</v>
      </c>
    </row>
    <row r="14" spans="1:8" ht="55.5" customHeight="1" x14ac:dyDescent="0.5">
      <c r="A14" s="3" t="s">
        <v>396</v>
      </c>
      <c r="B14" s="5" t="s">
        <v>394</v>
      </c>
      <c r="C14" s="5" t="s">
        <v>397</v>
      </c>
      <c r="D14" s="10" t="s">
        <v>313</v>
      </c>
      <c r="E14" s="10" t="s">
        <v>305</v>
      </c>
      <c r="F14" s="3" t="str">
        <f>IFERROR(INDEX('A2.0 Échelle de pertinence'!$B$10:$E$13,MATCH(D14,'A2.0 Échelle de pertinence'!$A$10:$A$13,0),MATCH(E14,'A2.0 Échelle de pertinence'!$B$9:$E$9,0)),"")</f>
        <v>Moyennement pertinent</v>
      </c>
      <c r="G14" s="3" t="s">
        <v>334</v>
      </c>
      <c r="H14" s="3" t="s">
        <v>383</v>
      </c>
    </row>
    <row r="15" spans="1:8" ht="55.5" customHeight="1" x14ac:dyDescent="0.5">
      <c r="A15" s="7" t="s">
        <v>398</v>
      </c>
      <c r="B15" s="8" t="s">
        <v>399</v>
      </c>
      <c r="C15" s="8" t="s">
        <v>400</v>
      </c>
      <c r="D15" s="11" t="s">
        <v>312</v>
      </c>
      <c r="E15" s="11" t="s">
        <v>305</v>
      </c>
      <c r="F15" s="3" t="str">
        <f>IFERROR(INDEX('A2.0 Échelle de pertinence'!$B$10:$E$13,MATCH(D15,'A2.0 Échelle de pertinence'!$A$10:$A$13,0),MATCH(E15,'A2.0 Échelle de pertinence'!$B$9:$E$9,0)),"")</f>
        <v>Plutôt pertinent</v>
      </c>
      <c r="G15" s="7" t="s">
        <v>336</v>
      </c>
      <c r="H15" s="7" t="s">
        <v>291</v>
      </c>
    </row>
    <row r="16" spans="1:8" ht="55.5" customHeight="1" x14ac:dyDescent="0.5">
      <c r="A16" s="3" t="s">
        <v>401</v>
      </c>
      <c r="B16" s="5" t="s">
        <v>399</v>
      </c>
      <c r="C16" s="5" t="s">
        <v>402</v>
      </c>
      <c r="D16" s="10" t="s">
        <v>312</v>
      </c>
      <c r="E16" s="10" t="s">
        <v>305</v>
      </c>
      <c r="F16" s="3" t="str">
        <f>IFERROR(INDEX('A2.0 Échelle de pertinence'!$B$10:$E$13,MATCH(D16,'A2.0 Échelle de pertinence'!$A$10:$A$13,0),MATCH(E16,'A2.0 Échelle de pertinence'!$B$9:$E$9,0)),"")</f>
        <v>Plutôt pertinent</v>
      </c>
      <c r="G16" s="3" t="s">
        <v>336</v>
      </c>
      <c r="H16" s="3" t="s">
        <v>403</v>
      </c>
    </row>
  </sheetData>
  <mergeCells count="3">
    <mergeCell ref="A1:H2"/>
    <mergeCell ref="A6:H6"/>
    <mergeCell ref="A4:H4"/>
  </mergeCells>
  <conditionalFormatting sqref="F8:F16">
    <cfRule type="cellIs" dxfId="6" priority="2" operator="equal">
      <formula>"Peu pertinent"</formula>
    </cfRule>
    <cfRule type="cellIs" dxfId="5" priority="3" operator="equal">
      <formula>"Moyennement pertinent"</formula>
    </cfRule>
    <cfRule type="cellIs" dxfId="4" priority="4" operator="equal">
      <formula>"Plutôt pertinent"</formula>
    </cfRule>
    <cfRule type="cellIs" dxfId="3" priority="5" operator="equal">
      <formula>"Très pertinent"</formula>
    </cfRule>
  </conditionalFormatting>
  <dataValidations count="1">
    <dataValidation type="list" errorTitle="Valeur invalide" error="Choisir parmi : Retenu, Surveillance, Écarté." sqref="G8:G16" xr:uid="{00000000-0002-0000-0800-000000000000}">
      <formula1>"Retenu,Surveillance,Écarté"</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0"/>
  <sheetViews>
    <sheetView showGridLines="0" zoomScaleNormal="100" workbookViewId="0">
      <pane ySplit="7" topLeftCell="A13" activePane="bottomLeft" state="frozen"/>
      <selection pane="bottomLeft" activeCell="A4" sqref="A4:F4"/>
    </sheetView>
  </sheetViews>
  <sheetFormatPr baseColWidth="10" defaultColWidth="8.703125" defaultRowHeight="14.35" x14ac:dyDescent="0.5"/>
  <cols>
    <col min="1" max="1" width="9" customWidth="1"/>
    <col min="2" max="2" width="36" customWidth="1"/>
    <col min="3" max="3" width="10" customWidth="1"/>
    <col min="4" max="4" width="9" customWidth="1"/>
    <col min="5" max="5" width="50" customWidth="1"/>
    <col min="6" max="6" width="22" customWidth="1"/>
  </cols>
  <sheetData>
    <row r="1" spans="1:6" ht="25.5" customHeight="1" x14ac:dyDescent="0.5">
      <c r="A1" s="76" t="s">
        <v>404</v>
      </c>
      <c r="B1" s="70"/>
      <c r="C1" s="70"/>
      <c r="D1" s="70"/>
      <c r="E1" s="70"/>
      <c r="F1" s="70"/>
    </row>
    <row r="2" spans="1:6" ht="25.5" customHeight="1" x14ac:dyDescent="0.5">
      <c r="A2" s="70"/>
      <c r="B2" s="70"/>
      <c r="C2" s="70"/>
      <c r="D2" s="70"/>
      <c r="E2" s="70"/>
      <c r="F2" s="70"/>
    </row>
    <row r="4" spans="1:6" ht="90" customHeight="1" x14ac:dyDescent="0.5">
      <c r="A4" s="78" t="s">
        <v>405</v>
      </c>
      <c r="B4" s="79"/>
      <c r="C4" s="79"/>
      <c r="D4" s="79"/>
      <c r="E4" s="79"/>
      <c r="F4" s="79"/>
    </row>
    <row r="6" spans="1:6" ht="21.75" customHeight="1" x14ac:dyDescent="0.5">
      <c r="A6" s="88" t="s">
        <v>406</v>
      </c>
      <c r="B6" s="70"/>
      <c r="C6" s="70"/>
      <c r="D6" s="70"/>
      <c r="E6" s="70"/>
      <c r="F6" s="70"/>
    </row>
    <row r="7" spans="1:6" ht="31.5" customHeight="1" x14ac:dyDescent="0.5">
      <c r="A7" s="1" t="s">
        <v>264</v>
      </c>
      <c r="B7" s="1" t="s">
        <v>265</v>
      </c>
      <c r="C7" s="1" t="s">
        <v>267</v>
      </c>
      <c r="D7" s="1" t="s">
        <v>370</v>
      </c>
      <c r="E7" s="1" t="s">
        <v>407</v>
      </c>
      <c r="F7" s="1" t="s">
        <v>328</v>
      </c>
    </row>
    <row r="8" spans="1:6" ht="36" customHeight="1" x14ac:dyDescent="0.5">
      <c r="A8" s="97" t="s">
        <v>287</v>
      </c>
      <c r="B8" s="99" t="s">
        <v>408</v>
      </c>
      <c r="C8" s="98" t="s">
        <v>233</v>
      </c>
      <c r="D8" s="3" t="s">
        <v>388</v>
      </c>
      <c r="E8" s="5" t="s">
        <v>409</v>
      </c>
      <c r="F8" s="36" t="s">
        <v>310</v>
      </c>
    </row>
    <row r="9" spans="1:6" ht="36" customHeight="1" x14ac:dyDescent="0.5">
      <c r="A9" s="84"/>
      <c r="B9" s="84"/>
      <c r="C9" s="84"/>
      <c r="D9" s="3" t="s">
        <v>393</v>
      </c>
      <c r="E9" s="5" t="s">
        <v>410</v>
      </c>
      <c r="F9" s="37" t="s">
        <v>309</v>
      </c>
    </row>
    <row r="10" spans="1:6" ht="36" customHeight="1" x14ac:dyDescent="0.5">
      <c r="A10" s="3" t="s">
        <v>295</v>
      </c>
      <c r="B10" s="5" t="s">
        <v>411</v>
      </c>
      <c r="C10" s="16" t="s">
        <v>233</v>
      </c>
      <c r="D10" s="3" t="s">
        <v>384</v>
      </c>
      <c r="E10" s="5" t="s">
        <v>412</v>
      </c>
      <c r="F10" s="38" t="s">
        <v>311</v>
      </c>
    </row>
    <row r="11" spans="1:6" ht="36" customHeight="1" x14ac:dyDescent="0.5">
      <c r="A11" s="3" t="s">
        <v>280</v>
      </c>
      <c r="B11" s="5" t="s">
        <v>413</v>
      </c>
      <c r="C11" s="19" t="s">
        <v>240</v>
      </c>
      <c r="D11" s="3" t="s">
        <v>390</v>
      </c>
      <c r="E11" s="5" t="s">
        <v>414</v>
      </c>
      <c r="F11" s="38" t="s">
        <v>311</v>
      </c>
    </row>
    <row r="12" spans="1:6" ht="36" customHeight="1" x14ac:dyDescent="0.5">
      <c r="A12" s="3" t="s">
        <v>269</v>
      </c>
      <c r="B12" s="5" t="s">
        <v>270</v>
      </c>
      <c r="C12" s="19" t="s">
        <v>240</v>
      </c>
      <c r="D12" s="3" t="s">
        <v>378</v>
      </c>
      <c r="E12" s="5" t="s">
        <v>415</v>
      </c>
      <c r="F12" s="36" t="s">
        <v>310</v>
      </c>
    </row>
    <row r="13" spans="1:6" ht="36" customHeight="1" x14ac:dyDescent="0.5">
      <c r="A13" s="97" t="s">
        <v>273</v>
      </c>
      <c r="B13" s="99" t="s">
        <v>416</v>
      </c>
      <c r="C13" s="96" t="s">
        <v>240</v>
      </c>
      <c r="D13" s="3" t="s">
        <v>384</v>
      </c>
      <c r="E13" s="5" t="s">
        <v>417</v>
      </c>
      <c r="F13" s="38" t="s">
        <v>311</v>
      </c>
    </row>
    <row r="14" spans="1:6" ht="36" customHeight="1" x14ac:dyDescent="0.5">
      <c r="A14" s="83"/>
      <c r="B14" s="83"/>
      <c r="C14" s="83"/>
      <c r="D14" s="3" t="s">
        <v>381</v>
      </c>
      <c r="E14" s="5" t="s">
        <v>418</v>
      </c>
      <c r="F14" s="37" t="s">
        <v>309</v>
      </c>
    </row>
    <row r="15" spans="1:6" ht="36" customHeight="1" x14ac:dyDescent="0.5">
      <c r="A15" s="84"/>
      <c r="B15" s="84"/>
      <c r="C15" s="84"/>
      <c r="D15" s="3" t="s">
        <v>396</v>
      </c>
      <c r="E15" s="5" t="s">
        <v>419</v>
      </c>
      <c r="F15" s="37" t="s">
        <v>309</v>
      </c>
    </row>
    <row r="16" spans="1:6" ht="36" customHeight="1" x14ac:dyDescent="0.5">
      <c r="A16" s="97" t="s">
        <v>291</v>
      </c>
      <c r="B16" s="99" t="s">
        <v>420</v>
      </c>
      <c r="C16" s="96" t="s">
        <v>240</v>
      </c>
      <c r="D16" s="3" t="s">
        <v>398</v>
      </c>
      <c r="E16" s="5" t="s">
        <v>421</v>
      </c>
      <c r="F16" s="36" t="s">
        <v>310</v>
      </c>
    </row>
    <row r="17" spans="1:6" ht="36" customHeight="1" x14ac:dyDescent="0.5">
      <c r="A17" s="84"/>
      <c r="B17" s="84"/>
      <c r="C17" s="84"/>
      <c r="D17" s="3" t="s">
        <v>401</v>
      </c>
      <c r="E17" s="5" t="s">
        <v>422</v>
      </c>
      <c r="F17" s="36" t="s">
        <v>310</v>
      </c>
    </row>
    <row r="18" spans="1:6" ht="36" customHeight="1" x14ac:dyDescent="0.5">
      <c r="A18" s="3" t="s">
        <v>283</v>
      </c>
      <c r="B18" s="5" t="s">
        <v>423</v>
      </c>
      <c r="C18" s="19" t="s">
        <v>240</v>
      </c>
      <c r="D18" s="3" t="s">
        <v>401</v>
      </c>
      <c r="E18" s="5" t="s">
        <v>424</v>
      </c>
      <c r="F18" s="36" t="s">
        <v>310</v>
      </c>
    </row>
    <row r="19" spans="1:6" ht="36" customHeight="1" x14ac:dyDescent="0.5">
      <c r="A19" s="97" t="s">
        <v>276</v>
      </c>
      <c r="B19" s="99" t="s">
        <v>425</v>
      </c>
      <c r="C19" s="100" t="s">
        <v>247</v>
      </c>
      <c r="D19" s="3" t="s">
        <v>381</v>
      </c>
      <c r="E19" s="5" t="s">
        <v>426</v>
      </c>
      <c r="F19" s="37" t="s">
        <v>309</v>
      </c>
    </row>
    <row r="20" spans="1:6" ht="36" customHeight="1" x14ac:dyDescent="0.5">
      <c r="A20" s="84"/>
      <c r="B20" s="84"/>
      <c r="C20" s="84"/>
      <c r="D20" s="3" t="s">
        <v>396</v>
      </c>
      <c r="E20" s="5" t="s">
        <v>427</v>
      </c>
      <c r="F20" s="37" t="s">
        <v>309</v>
      </c>
    </row>
  </sheetData>
  <mergeCells count="15">
    <mergeCell ref="A1:F2"/>
    <mergeCell ref="A6:F6"/>
    <mergeCell ref="B8:B9"/>
    <mergeCell ref="A16:A17"/>
    <mergeCell ref="A4:F4"/>
    <mergeCell ref="B16:B17"/>
    <mergeCell ref="C16:C17"/>
    <mergeCell ref="A13:A15"/>
    <mergeCell ref="C13:C15"/>
    <mergeCell ref="A8:A9"/>
    <mergeCell ref="C8:C9"/>
    <mergeCell ref="B19:B20"/>
    <mergeCell ref="B13:B15"/>
    <mergeCell ref="A19:A20"/>
    <mergeCell ref="C19:C2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3"/>
  <sheetViews>
    <sheetView showGridLines="0" zoomScaleNormal="100" workbookViewId="0">
      <pane ySplit="3" topLeftCell="A12" activePane="bottomLeft" state="frozen"/>
      <selection pane="bottomLeft" activeCell="A4" sqref="A4:E4"/>
    </sheetView>
  </sheetViews>
  <sheetFormatPr baseColWidth="10" defaultColWidth="8.703125" defaultRowHeight="14.35" x14ac:dyDescent="0.5"/>
  <cols>
    <col min="1" max="1" width="17.9375" customWidth="1"/>
    <col min="2" max="5" width="32" customWidth="1"/>
  </cols>
  <sheetData>
    <row r="1" spans="1:5" ht="25.5" customHeight="1" x14ac:dyDescent="0.5">
      <c r="A1" s="76" t="s">
        <v>428</v>
      </c>
      <c r="B1" s="70"/>
      <c r="C1" s="70"/>
      <c r="D1" s="70"/>
      <c r="E1" s="70"/>
    </row>
    <row r="2" spans="1:5" ht="25.5" customHeight="1" x14ac:dyDescent="0.5">
      <c r="A2" s="70"/>
      <c r="B2" s="70"/>
      <c r="C2" s="70"/>
      <c r="D2" s="70"/>
      <c r="E2" s="70"/>
    </row>
    <row r="4" spans="1:5" ht="79.5" customHeight="1" x14ac:dyDescent="0.5">
      <c r="A4" s="78" t="s">
        <v>429</v>
      </c>
      <c r="B4" s="79"/>
      <c r="C4" s="79"/>
      <c r="D4" s="79"/>
      <c r="E4" s="79"/>
    </row>
    <row r="6" spans="1:5" ht="21.75" customHeight="1" x14ac:dyDescent="0.5">
      <c r="A6" s="88" t="s">
        <v>430</v>
      </c>
      <c r="B6" s="70"/>
      <c r="C6" s="70"/>
      <c r="D6" s="70"/>
      <c r="E6" s="70"/>
    </row>
    <row r="7" spans="1:5" ht="24" customHeight="1" x14ac:dyDescent="0.5">
      <c r="A7" s="39"/>
      <c r="B7" s="95" t="s">
        <v>431</v>
      </c>
      <c r="C7" s="79"/>
      <c r="D7" s="95" t="s">
        <v>432</v>
      </c>
      <c r="E7" s="79"/>
    </row>
    <row r="8" spans="1:5" ht="27.75" customHeight="1" x14ac:dyDescent="0.5">
      <c r="A8" s="1" t="s">
        <v>226</v>
      </c>
      <c r="B8" s="1" t="s">
        <v>433</v>
      </c>
      <c r="C8" s="1" t="s">
        <v>434</v>
      </c>
      <c r="D8" s="1" t="s">
        <v>435</v>
      </c>
      <c r="E8" s="1" t="s">
        <v>436</v>
      </c>
    </row>
    <row r="9" spans="1:5" ht="87.75" customHeight="1" x14ac:dyDescent="0.5">
      <c r="A9" s="3">
        <v>1</v>
      </c>
      <c r="B9" s="5" t="s">
        <v>437</v>
      </c>
      <c r="C9" s="5" t="s">
        <v>438</v>
      </c>
      <c r="D9" s="5" t="s">
        <v>439</v>
      </c>
      <c r="E9" s="5" t="s">
        <v>440</v>
      </c>
    </row>
    <row r="10" spans="1:5" ht="87.75" customHeight="1" x14ac:dyDescent="0.5">
      <c r="A10" s="7">
        <v>2</v>
      </c>
      <c r="B10" s="8" t="s">
        <v>441</v>
      </c>
      <c r="C10" s="8" t="s">
        <v>442</v>
      </c>
      <c r="D10" s="8" t="s">
        <v>443</v>
      </c>
      <c r="E10" s="8" t="s">
        <v>444</v>
      </c>
    </row>
    <row r="11" spans="1:5" ht="87.75" customHeight="1" x14ac:dyDescent="0.5">
      <c r="A11" s="3">
        <v>3</v>
      </c>
      <c r="B11" s="5" t="s">
        <v>445</v>
      </c>
      <c r="C11" s="5" t="s">
        <v>446</v>
      </c>
      <c r="D11" s="5" t="s">
        <v>447</v>
      </c>
      <c r="E11" s="5" t="s">
        <v>448</v>
      </c>
    </row>
    <row r="12" spans="1:5" ht="87.75" customHeight="1" x14ac:dyDescent="0.5">
      <c r="A12" s="7">
        <v>4</v>
      </c>
      <c r="B12" s="8" t="s">
        <v>449</v>
      </c>
      <c r="C12" s="8" t="s">
        <v>450</v>
      </c>
      <c r="D12" s="8" t="s">
        <v>451</v>
      </c>
      <c r="E12" s="8" t="s">
        <v>452</v>
      </c>
    </row>
    <row r="14" spans="1:5" ht="21.75" customHeight="1" x14ac:dyDescent="0.5">
      <c r="A14" s="88" t="s">
        <v>453</v>
      </c>
      <c r="B14" s="70"/>
      <c r="C14" s="70"/>
      <c r="D14" s="70"/>
      <c r="E14" s="70"/>
    </row>
    <row r="15" spans="1:5" ht="25.5" customHeight="1" x14ac:dyDescent="0.5">
      <c r="A15" s="1" t="s">
        <v>454</v>
      </c>
      <c r="B15" s="1" t="s">
        <v>455</v>
      </c>
      <c r="C15" s="1" t="s">
        <v>456</v>
      </c>
      <c r="D15" s="1" t="s">
        <v>457</v>
      </c>
      <c r="E15" s="1" t="s">
        <v>458</v>
      </c>
    </row>
    <row r="16" spans="1:5" ht="36" customHeight="1" x14ac:dyDescent="0.5">
      <c r="A16" s="25" t="s">
        <v>459</v>
      </c>
      <c r="B16" s="10" t="s">
        <v>460</v>
      </c>
      <c r="C16" s="10" t="s">
        <v>461</v>
      </c>
      <c r="D16" s="10" t="s">
        <v>462</v>
      </c>
      <c r="E16" s="5" t="s">
        <v>463</v>
      </c>
    </row>
    <row r="17" spans="1:5" ht="39.35" customHeight="1" x14ac:dyDescent="0.5">
      <c r="A17" s="22" t="s">
        <v>464</v>
      </c>
      <c r="B17" s="10" t="s">
        <v>465</v>
      </c>
      <c r="C17" s="10" t="s">
        <v>462</v>
      </c>
      <c r="D17" s="10" t="s">
        <v>466</v>
      </c>
      <c r="E17" s="5" t="s">
        <v>467</v>
      </c>
    </row>
    <row r="18" spans="1:5" ht="41.35" customHeight="1" x14ac:dyDescent="0.5">
      <c r="A18" s="16" t="s">
        <v>468</v>
      </c>
      <c r="B18" s="10" t="s">
        <v>469</v>
      </c>
      <c r="C18" s="10" t="s">
        <v>466</v>
      </c>
      <c r="D18" s="10" t="s">
        <v>470</v>
      </c>
      <c r="E18" s="5" t="s">
        <v>471</v>
      </c>
    </row>
    <row r="20" spans="1:5" ht="21.75" customHeight="1" x14ac:dyDescent="0.5">
      <c r="A20" s="88" t="s">
        <v>472</v>
      </c>
      <c r="B20" s="70"/>
      <c r="C20" s="70"/>
      <c r="D20" s="70"/>
      <c r="E20" s="70"/>
    </row>
    <row r="21" spans="1:5" ht="24" customHeight="1" x14ac:dyDescent="0.5">
      <c r="A21" s="1" t="s">
        <v>473</v>
      </c>
      <c r="B21" s="1" t="s">
        <v>474</v>
      </c>
      <c r="C21" s="1" t="s">
        <v>475</v>
      </c>
      <c r="D21" s="1" t="s">
        <v>476</v>
      </c>
      <c r="E21" s="1" t="s">
        <v>477</v>
      </c>
    </row>
    <row r="22" spans="1:5" ht="35.700000000000003" customHeight="1" x14ac:dyDescent="0.5">
      <c r="A22" s="3" t="s">
        <v>478</v>
      </c>
      <c r="B22" s="10" t="s">
        <v>479</v>
      </c>
      <c r="C22" s="10" t="s">
        <v>480</v>
      </c>
      <c r="D22" s="10" t="s">
        <v>481</v>
      </c>
      <c r="E22" s="10" t="s">
        <v>482</v>
      </c>
    </row>
    <row r="23" spans="1:5" ht="34.700000000000003" customHeight="1" x14ac:dyDescent="0.5">
      <c r="A23" s="7" t="s">
        <v>483</v>
      </c>
      <c r="B23" s="11" t="s">
        <v>484</v>
      </c>
      <c r="C23" s="11" t="s">
        <v>485</v>
      </c>
      <c r="D23" s="11" t="s">
        <v>486</v>
      </c>
      <c r="E23" s="11" t="s">
        <v>487</v>
      </c>
    </row>
  </sheetData>
  <mergeCells count="7">
    <mergeCell ref="A4:E4"/>
    <mergeCell ref="A20:E20"/>
    <mergeCell ref="D7:E7"/>
    <mergeCell ref="B7:C7"/>
    <mergeCell ref="A1:E2"/>
    <mergeCell ref="A14:E14"/>
    <mergeCell ref="A6:E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showGridLines="0" zoomScaleNormal="100" workbookViewId="0">
      <pane ySplit="7" topLeftCell="A25" activePane="bottomLeft" state="frozen"/>
      <selection pane="bottomLeft" activeCell="D10" sqref="D10"/>
    </sheetView>
  </sheetViews>
  <sheetFormatPr baseColWidth="10" defaultColWidth="8.703125" defaultRowHeight="14.35" x14ac:dyDescent="0.5"/>
  <cols>
    <col min="1" max="1" width="8" customWidth="1"/>
    <col min="2" max="2" width="14" customWidth="1"/>
    <col min="3" max="3" width="32" customWidth="1"/>
    <col min="4" max="4" width="50" customWidth="1"/>
    <col min="5" max="5" width="30" customWidth="1"/>
  </cols>
  <sheetData>
    <row r="1" spans="1:5" ht="25.5" customHeight="1" x14ac:dyDescent="0.5">
      <c r="A1" s="76" t="s">
        <v>488</v>
      </c>
      <c r="B1" s="70"/>
      <c r="C1" s="70"/>
      <c r="D1" s="70"/>
      <c r="E1" s="70"/>
    </row>
    <row r="2" spans="1:5" ht="25.5" customHeight="1" x14ac:dyDescent="0.5">
      <c r="A2" s="70"/>
      <c r="B2" s="70"/>
      <c r="C2" s="70"/>
      <c r="D2" s="70"/>
      <c r="E2" s="70"/>
    </row>
    <row r="4" spans="1:5" ht="84" customHeight="1" x14ac:dyDescent="0.5">
      <c r="A4" s="78" t="s">
        <v>489</v>
      </c>
      <c r="B4" s="79"/>
      <c r="C4" s="79"/>
      <c r="D4" s="79"/>
      <c r="E4" s="79"/>
    </row>
    <row r="6" spans="1:5" ht="21.75" customHeight="1" x14ac:dyDescent="0.5">
      <c r="A6" s="88" t="s">
        <v>490</v>
      </c>
      <c r="B6" s="70"/>
      <c r="C6" s="70"/>
      <c r="D6" s="70"/>
      <c r="E6" s="70"/>
    </row>
    <row r="7" spans="1:5" ht="31.5" customHeight="1" x14ac:dyDescent="0.5">
      <c r="A7" s="1" t="s">
        <v>491</v>
      </c>
      <c r="B7" s="1" t="s">
        <v>492</v>
      </c>
      <c r="C7" s="1" t="s">
        <v>227</v>
      </c>
      <c r="D7" s="1" t="s">
        <v>493</v>
      </c>
      <c r="E7" s="1" t="s">
        <v>494</v>
      </c>
    </row>
    <row r="8" spans="1:5" ht="87.75" customHeight="1" x14ac:dyDescent="0.5">
      <c r="A8" s="3" t="s">
        <v>495</v>
      </c>
      <c r="B8" s="10" t="s">
        <v>496</v>
      </c>
      <c r="C8" s="34" t="s">
        <v>497</v>
      </c>
      <c r="D8" s="5" t="s">
        <v>498</v>
      </c>
      <c r="E8" s="5" t="s">
        <v>499</v>
      </c>
    </row>
    <row r="9" spans="1:5" ht="87.75" customHeight="1" x14ac:dyDescent="0.5">
      <c r="A9" s="7" t="s">
        <v>500</v>
      </c>
      <c r="B9" s="11" t="s">
        <v>496</v>
      </c>
      <c r="C9" s="35" t="s">
        <v>501</v>
      </c>
      <c r="D9" s="8" t="s">
        <v>502</v>
      </c>
      <c r="E9" s="8" t="s">
        <v>503</v>
      </c>
    </row>
    <row r="10" spans="1:5" ht="87.75" customHeight="1" x14ac:dyDescent="0.5">
      <c r="A10" s="3" t="s">
        <v>504</v>
      </c>
      <c r="B10" s="10" t="s">
        <v>496</v>
      </c>
      <c r="C10" s="34" t="s">
        <v>505</v>
      </c>
      <c r="D10" s="5" t="s">
        <v>506</v>
      </c>
      <c r="E10" s="5" t="s">
        <v>507</v>
      </c>
    </row>
    <row r="11" spans="1:5" ht="87.75" customHeight="1" x14ac:dyDescent="0.5">
      <c r="A11" s="7" t="s">
        <v>508</v>
      </c>
      <c r="B11" s="11" t="s">
        <v>496</v>
      </c>
      <c r="C11" s="35" t="s">
        <v>509</v>
      </c>
      <c r="D11" s="8" t="s">
        <v>510</v>
      </c>
      <c r="E11" s="8" t="s">
        <v>511</v>
      </c>
    </row>
    <row r="12" spans="1:5" ht="87.75" customHeight="1" x14ac:dyDescent="0.5">
      <c r="A12" s="3" t="s">
        <v>512</v>
      </c>
      <c r="B12" s="10" t="s">
        <v>513</v>
      </c>
      <c r="C12" s="34" t="s">
        <v>514</v>
      </c>
      <c r="D12" s="5" t="s">
        <v>515</v>
      </c>
      <c r="E12" s="5" t="s">
        <v>516</v>
      </c>
    </row>
    <row r="13" spans="1:5" ht="87.75" customHeight="1" x14ac:dyDescent="0.5">
      <c r="A13" s="7" t="s">
        <v>517</v>
      </c>
      <c r="B13" s="11" t="s">
        <v>513</v>
      </c>
      <c r="C13" s="35" t="s">
        <v>518</v>
      </c>
      <c r="D13" s="8" t="s">
        <v>519</v>
      </c>
      <c r="E13" s="8" t="s">
        <v>520</v>
      </c>
    </row>
    <row r="14" spans="1:5" ht="87.75" customHeight="1" x14ac:dyDescent="0.5">
      <c r="A14" s="3" t="s">
        <v>521</v>
      </c>
      <c r="B14" s="10" t="s">
        <v>513</v>
      </c>
      <c r="C14" s="34" t="s">
        <v>522</v>
      </c>
      <c r="D14" s="5" t="s">
        <v>523</v>
      </c>
      <c r="E14" s="5" t="s">
        <v>524</v>
      </c>
    </row>
  </sheetData>
  <mergeCells count="3">
    <mergeCell ref="A6:E6"/>
    <mergeCell ref="A4:E4"/>
    <mergeCell ref="A1:E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66"/>
  <sheetViews>
    <sheetView showGridLines="0" zoomScaleNormal="100" workbookViewId="0">
      <pane ySplit="7" topLeftCell="A9" activePane="bottomLeft" state="frozen"/>
      <selection pane="bottomLeft" activeCell="A17" sqref="A17:K17"/>
    </sheetView>
  </sheetViews>
  <sheetFormatPr baseColWidth="10" defaultColWidth="8.703125" defaultRowHeight="14.35" x14ac:dyDescent="0.5"/>
  <cols>
    <col min="1" max="1" width="8" customWidth="1"/>
    <col min="2" max="2" width="26" customWidth="1"/>
    <col min="3" max="4" width="11" customWidth="1"/>
    <col min="5" max="5" width="12" customWidth="1"/>
    <col min="6" max="6" width="11" customWidth="1"/>
    <col min="7" max="8" width="13" customWidth="1"/>
    <col min="9" max="9" width="14" customWidth="1"/>
    <col min="10" max="10" width="12" customWidth="1"/>
    <col min="11" max="11" width="14" customWidth="1"/>
  </cols>
  <sheetData>
    <row r="1" spans="1:11" ht="25.5" customHeight="1" x14ac:dyDescent="0.5">
      <c r="A1" s="76" t="s">
        <v>525</v>
      </c>
      <c r="B1" s="70"/>
      <c r="C1" s="70"/>
      <c r="D1" s="70"/>
      <c r="E1" s="70"/>
      <c r="F1" s="70"/>
      <c r="G1" s="70"/>
      <c r="H1" s="70"/>
      <c r="I1" s="70"/>
      <c r="J1" s="70"/>
      <c r="K1" s="70"/>
    </row>
    <row r="2" spans="1:11" ht="25.5" customHeight="1" x14ac:dyDescent="0.5">
      <c r="A2" s="70"/>
      <c r="B2" s="70"/>
      <c r="C2" s="70"/>
      <c r="D2" s="70"/>
      <c r="E2" s="70"/>
      <c r="F2" s="70"/>
      <c r="G2" s="70"/>
      <c r="H2" s="70"/>
      <c r="I2" s="70"/>
      <c r="J2" s="70"/>
      <c r="K2" s="70"/>
    </row>
    <row r="4" spans="1:11" ht="84" customHeight="1" x14ac:dyDescent="0.5">
      <c r="A4" s="78" t="s">
        <v>526</v>
      </c>
      <c r="B4" s="79"/>
      <c r="C4" s="79"/>
      <c r="D4" s="79"/>
      <c r="E4" s="79"/>
      <c r="F4" s="79"/>
      <c r="G4" s="79"/>
      <c r="H4" s="79"/>
      <c r="I4" s="79"/>
      <c r="J4" s="79"/>
      <c r="K4" s="79"/>
    </row>
    <row r="6" spans="1:11" ht="21.75" customHeight="1" x14ac:dyDescent="0.5">
      <c r="A6" s="88" t="s">
        <v>527</v>
      </c>
      <c r="B6" s="70"/>
      <c r="C6" s="70"/>
      <c r="D6" s="70"/>
      <c r="E6" s="70"/>
      <c r="F6" s="70"/>
      <c r="G6" s="70"/>
      <c r="H6" s="70"/>
      <c r="I6" s="70"/>
      <c r="J6" s="70"/>
      <c r="K6" s="70"/>
    </row>
    <row r="7" spans="1:11" ht="43.5" customHeight="1" x14ac:dyDescent="0.5">
      <c r="A7" s="1" t="s">
        <v>491</v>
      </c>
      <c r="B7" s="1" t="s">
        <v>227</v>
      </c>
      <c r="C7" s="1" t="s">
        <v>528</v>
      </c>
      <c r="D7" s="1" t="s">
        <v>529</v>
      </c>
      <c r="E7" s="1" t="s">
        <v>530</v>
      </c>
      <c r="F7" s="1" t="s">
        <v>531</v>
      </c>
      <c r="G7" s="1" t="s">
        <v>532</v>
      </c>
      <c r="H7" s="1" t="s">
        <v>533</v>
      </c>
      <c r="I7" s="1" t="s">
        <v>534</v>
      </c>
      <c r="J7" s="1" t="s">
        <v>454</v>
      </c>
      <c r="K7" s="1" t="s">
        <v>535</v>
      </c>
    </row>
    <row r="8" spans="1:11" ht="31.5" customHeight="1" x14ac:dyDescent="0.5">
      <c r="A8" s="3" t="s">
        <v>495</v>
      </c>
      <c r="B8" s="5" t="s">
        <v>497</v>
      </c>
      <c r="C8" s="10">
        <v>3</v>
      </c>
      <c r="D8" s="10">
        <v>3</v>
      </c>
      <c r="E8" s="10">
        <f t="shared" ref="E8:E14" si="0">C8*D8</f>
        <v>9</v>
      </c>
      <c r="F8" s="10">
        <v>2</v>
      </c>
      <c r="G8" s="10">
        <v>3</v>
      </c>
      <c r="H8" s="10">
        <f t="shared" ref="H8:H14" si="1">F8*G8</f>
        <v>6</v>
      </c>
      <c r="I8" s="40">
        <f t="shared" ref="I8:I14" si="2">IFERROR(E8/H8,"")</f>
        <v>1.5</v>
      </c>
      <c r="J8" s="3" t="str">
        <f t="shared" ref="J8:J14" si="3">IF(I8="","",IF(I8&lt;0.2,"Veille",IF(I8&lt;2.5,"Contrôle","Danger")))</f>
        <v>Contrôle</v>
      </c>
      <c r="K8" s="3" t="str">
        <f t="shared" ref="K8:K14" si="4">IF(J8="Danger","Oui","Non")</f>
        <v>Non</v>
      </c>
    </row>
    <row r="9" spans="1:11" ht="31.5" customHeight="1" x14ac:dyDescent="0.5">
      <c r="A9" s="7" t="s">
        <v>500</v>
      </c>
      <c r="B9" s="8" t="s">
        <v>501</v>
      </c>
      <c r="C9" s="11">
        <v>2</v>
      </c>
      <c r="D9" s="11">
        <v>2</v>
      </c>
      <c r="E9" s="11">
        <f t="shared" si="0"/>
        <v>4</v>
      </c>
      <c r="F9" s="11">
        <v>3</v>
      </c>
      <c r="G9" s="11">
        <v>3</v>
      </c>
      <c r="H9" s="11">
        <f t="shared" si="1"/>
        <v>9</v>
      </c>
      <c r="I9" s="41">
        <f t="shared" si="2"/>
        <v>0.44444444444444442</v>
      </c>
      <c r="J9" s="3" t="str">
        <f t="shared" si="3"/>
        <v>Contrôle</v>
      </c>
      <c r="K9" s="7" t="str">
        <f t="shared" si="4"/>
        <v>Non</v>
      </c>
    </row>
    <row r="10" spans="1:11" ht="31.5" customHeight="1" x14ac:dyDescent="0.5">
      <c r="A10" s="3" t="s">
        <v>504</v>
      </c>
      <c r="B10" s="5" t="s">
        <v>536</v>
      </c>
      <c r="C10" s="10">
        <v>3</v>
      </c>
      <c r="D10" s="10">
        <v>1</v>
      </c>
      <c r="E10" s="10">
        <f t="shared" si="0"/>
        <v>3</v>
      </c>
      <c r="F10" s="10">
        <v>4</v>
      </c>
      <c r="G10" s="10">
        <v>4</v>
      </c>
      <c r="H10" s="10">
        <f t="shared" si="1"/>
        <v>16</v>
      </c>
      <c r="I10" s="40">
        <f t="shared" si="2"/>
        <v>0.1875</v>
      </c>
      <c r="J10" s="3" t="str">
        <f t="shared" si="3"/>
        <v>Veille</v>
      </c>
      <c r="K10" s="3" t="str">
        <f t="shared" si="4"/>
        <v>Non</v>
      </c>
    </row>
    <row r="11" spans="1:11" ht="31.5" customHeight="1" x14ac:dyDescent="0.5">
      <c r="A11" s="7" t="s">
        <v>508</v>
      </c>
      <c r="B11" s="8" t="s">
        <v>509</v>
      </c>
      <c r="C11" s="11">
        <v>1</v>
      </c>
      <c r="D11" s="11">
        <v>1</v>
      </c>
      <c r="E11" s="11">
        <f t="shared" si="0"/>
        <v>1</v>
      </c>
      <c r="F11" s="11">
        <v>4</v>
      </c>
      <c r="G11" s="11">
        <v>4</v>
      </c>
      <c r="H11" s="11">
        <f t="shared" si="1"/>
        <v>16</v>
      </c>
      <c r="I11" s="41">
        <f t="shared" si="2"/>
        <v>6.25E-2</v>
      </c>
      <c r="J11" s="3" t="str">
        <f t="shared" si="3"/>
        <v>Veille</v>
      </c>
      <c r="K11" s="7" t="str">
        <f t="shared" si="4"/>
        <v>Non</v>
      </c>
    </row>
    <row r="12" spans="1:11" ht="31.5" customHeight="1" x14ac:dyDescent="0.5">
      <c r="A12" s="3" t="s">
        <v>512</v>
      </c>
      <c r="B12" s="5" t="s">
        <v>514</v>
      </c>
      <c r="C12" s="10">
        <v>3</v>
      </c>
      <c r="D12" s="10">
        <v>3</v>
      </c>
      <c r="E12" s="10">
        <f t="shared" si="0"/>
        <v>9</v>
      </c>
      <c r="F12" s="10">
        <v>2</v>
      </c>
      <c r="G12" s="10">
        <v>2</v>
      </c>
      <c r="H12" s="10">
        <f t="shared" si="1"/>
        <v>4</v>
      </c>
      <c r="I12" s="40">
        <f t="shared" si="2"/>
        <v>2.25</v>
      </c>
      <c r="J12" s="3" t="str">
        <f t="shared" si="3"/>
        <v>Contrôle</v>
      </c>
      <c r="K12" s="3" t="str">
        <f t="shared" si="4"/>
        <v>Non</v>
      </c>
    </row>
    <row r="13" spans="1:11" ht="31.5" customHeight="1" x14ac:dyDescent="0.5">
      <c r="A13" s="7" t="s">
        <v>517</v>
      </c>
      <c r="B13" s="8" t="s">
        <v>537</v>
      </c>
      <c r="C13" s="11">
        <v>4</v>
      </c>
      <c r="D13" s="11">
        <v>2</v>
      </c>
      <c r="E13" s="11">
        <f t="shared" si="0"/>
        <v>8</v>
      </c>
      <c r="F13" s="11">
        <v>4</v>
      </c>
      <c r="G13" s="11">
        <v>4</v>
      </c>
      <c r="H13" s="11">
        <f t="shared" si="1"/>
        <v>16</v>
      </c>
      <c r="I13" s="41">
        <f t="shared" si="2"/>
        <v>0.5</v>
      </c>
      <c r="J13" s="3" t="str">
        <f t="shared" si="3"/>
        <v>Contrôle</v>
      </c>
      <c r="K13" s="7" t="str">
        <f t="shared" si="4"/>
        <v>Non</v>
      </c>
    </row>
    <row r="14" spans="1:11" ht="31.5" customHeight="1" x14ac:dyDescent="0.5">
      <c r="A14" s="3" t="s">
        <v>521</v>
      </c>
      <c r="B14" s="5" t="s">
        <v>522</v>
      </c>
      <c r="C14" s="10">
        <v>2</v>
      </c>
      <c r="D14" s="10">
        <v>1</v>
      </c>
      <c r="E14" s="10">
        <f t="shared" si="0"/>
        <v>2</v>
      </c>
      <c r="F14" s="10">
        <v>3</v>
      </c>
      <c r="G14" s="10">
        <v>3</v>
      </c>
      <c r="H14" s="10">
        <f t="shared" si="1"/>
        <v>9</v>
      </c>
      <c r="I14" s="40">
        <f t="shared" si="2"/>
        <v>0.22222222222222221</v>
      </c>
      <c r="J14" s="3" t="str">
        <f t="shared" si="3"/>
        <v>Contrôle</v>
      </c>
      <c r="K14" s="3" t="str">
        <f t="shared" si="4"/>
        <v>Non</v>
      </c>
    </row>
    <row r="16" spans="1:11" ht="21.75" customHeight="1" x14ac:dyDescent="0.5">
      <c r="A16" s="88" t="s">
        <v>538</v>
      </c>
      <c r="B16" s="70"/>
      <c r="C16" s="70"/>
      <c r="D16" s="70"/>
      <c r="E16" s="70"/>
      <c r="F16" s="70"/>
      <c r="G16" s="70"/>
      <c r="H16" s="70"/>
      <c r="I16" s="70"/>
      <c r="J16" s="70"/>
      <c r="K16" s="70"/>
    </row>
    <row r="17" spans="1:11" ht="71.349999999999994" customHeight="1" x14ac:dyDescent="0.5">
      <c r="A17" s="78" t="s">
        <v>539</v>
      </c>
      <c r="B17" s="79"/>
      <c r="C17" s="79"/>
      <c r="D17" s="79"/>
      <c r="E17" s="79"/>
      <c r="F17" s="79"/>
      <c r="G17" s="79"/>
      <c r="H17" s="79"/>
      <c r="I17" s="79"/>
      <c r="J17" s="79"/>
      <c r="K17" s="79"/>
    </row>
    <row r="19" spans="1:11" ht="24" customHeight="1" x14ac:dyDescent="0.5">
      <c r="A19" s="75" t="s">
        <v>540</v>
      </c>
      <c r="B19" s="70"/>
      <c r="C19" s="70"/>
      <c r="D19" s="70"/>
      <c r="E19" s="70"/>
      <c r="F19" s="70"/>
      <c r="G19" s="70"/>
      <c r="H19" s="70"/>
      <c r="I19" s="70"/>
      <c r="J19" s="70"/>
      <c r="K19" s="70"/>
    </row>
    <row r="20" spans="1:11" ht="18" customHeight="1" x14ac:dyDescent="0.5"/>
    <row r="21" spans="1:11" ht="18" customHeight="1" x14ac:dyDescent="0.5"/>
    <row r="22" spans="1:11" ht="18" customHeight="1" x14ac:dyDescent="0.5"/>
    <row r="23" spans="1:11" ht="18" customHeight="1" x14ac:dyDescent="0.5"/>
    <row r="24" spans="1:11" ht="18" customHeight="1" x14ac:dyDescent="0.5"/>
    <row r="25" spans="1:11" ht="18" customHeight="1" x14ac:dyDescent="0.5"/>
    <row r="26" spans="1:11" ht="18" customHeight="1" x14ac:dyDescent="0.5"/>
    <row r="27" spans="1:11" ht="18" customHeight="1" x14ac:dyDescent="0.5"/>
    <row r="28" spans="1:11" ht="18" customHeight="1" x14ac:dyDescent="0.5"/>
    <row r="29" spans="1:11" ht="18" customHeight="1" x14ac:dyDescent="0.5"/>
    <row r="30" spans="1:11" ht="18" customHeight="1" x14ac:dyDescent="0.5"/>
    <row r="31" spans="1:11" ht="18" customHeight="1" x14ac:dyDescent="0.5"/>
    <row r="32" spans="1:11" ht="18" customHeight="1" x14ac:dyDescent="0.5"/>
    <row r="33" ht="18" customHeight="1" x14ac:dyDescent="0.5"/>
    <row r="34" ht="18" customHeight="1" x14ac:dyDescent="0.5"/>
    <row r="35" ht="18" customHeight="1" x14ac:dyDescent="0.5"/>
    <row r="36" ht="18" customHeight="1" x14ac:dyDescent="0.5"/>
    <row r="37" ht="18" customHeight="1" x14ac:dyDescent="0.5"/>
    <row r="38" ht="18" customHeight="1" x14ac:dyDescent="0.5"/>
    <row r="39" ht="18" customHeight="1" x14ac:dyDescent="0.5"/>
    <row r="40" ht="18" customHeight="1" x14ac:dyDescent="0.5"/>
    <row r="41" ht="18" customHeight="1" x14ac:dyDescent="0.5"/>
    <row r="42" ht="18" customHeight="1" x14ac:dyDescent="0.5"/>
    <row r="43" ht="18" customHeight="1" x14ac:dyDescent="0.5"/>
    <row r="44" ht="18" customHeight="1" x14ac:dyDescent="0.5"/>
    <row r="45" ht="18" customHeight="1" x14ac:dyDescent="0.5"/>
    <row r="46" ht="18" customHeight="1" x14ac:dyDescent="0.5"/>
    <row r="47" ht="18" customHeight="1" x14ac:dyDescent="0.5"/>
    <row r="48" ht="18" customHeight="1" x14ac:dyDescent="0.5"/>
    <row r="49" ht="18" customHeight="1" x14ac:dyDescent="0.5"/>
    <row r="50" ht="18" customHeight="1" x14ac:dyDescent="0.5"/>
    <row r="51" ht="18" customHeight="1" x14ac:dyDescent="0.5"/>
    <row r="52" ht="18" customHeight="1" x14ac:dyDescent="0.5"/>
    <row r="53" ht="18" customHeight="1" x14ac:dyDescent="0.5"/>
    <row r="54" ht="18" customHeight="1" x14ac:dyDescent="0.5"/>
    <row r="55" ht="18" customHeight="1" x14ac:dyDescent="0.5"/>
    <row r="56" ht="18" customHeight="1" x14ac:dyDescent="0.5"/>
    <row r="57" ht="18" customHeight="1" x14ac:dyDescent="0.5"/>
    <row r="58" ht="18" customHeight="1" x14ac:dyDescent="0.5"/>
    <row r="59" ht="18" customHeight="1" x14ac:dyDescent="0.5"/>
    <row r="60" ht="18" customHeight="1" x14ac:dyDescent="0.5"/>
    <row r="61" ht="18" customHeight="1" x14ac:dyDescent="0.5"/>
    <row r="62" ht="18" customHeight="1" x14ac:dyDescent="0.5"/>
    <row r="63" ht="18" customHeight="1" x14ac:dyDescent="0.5"/>
    <row r="64" ht="18" customHeight="1" x14ac:dyDescent="0.5"/>
    <row r="65" ht="18" customHeight="1" x14ac:dyDescent="0.5"/>
    <row r="66" ht="18" customHeight="1" x14ac:dyDescent="0.5"/>
  </sheetData>
  <mergeCells count="6">
    <mergeCell ref="A1:K2"/>
    <mergeCell ref="A6:K6"/>
    <mergeCell ref="A4:K4"/>
    <mergeCell ref="A16:K16"/>
    <mergeCell ref="A19:K19"/>
    <mergeCell ref="A17:K17"/>
  </mergeCells>
  <conditionalFormatting sqref="J8:J14">
    <cfRule type="cellIs" dxfId="2" priority="2" operator="equal">
      <formula>"Veille"</formula>
    </cfRule>
    <cfRule type="cellIs" dxfId="1" priority="3" operator="equal">
      <formula>"Contrôle"</formula>
    </cfRule>
    <cfRule type="cellIs" dxfId="0" priority="4" operator="equal">
      <formula>"Danger"</formula>
    </cfRule>
  </conditionalFormatting>
  <dataValidations count="1">
    <dataValidation type="whole" error="Saisir une valeur entre 1 et 4 (cf. échelle A3.0)." sqref="C8:D14 F8:G14" xr:uid="{00000000-0002-0000-0C00-000000000000}">
      <formula1>1</formula1>
      <formula2>4</formula2>
    </dataValidation>
  </dataValidations>
  <pageMargins left="0.75" right="0.75" top="1" bottom="1"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3"/>
  <sheetViews>
    <sheetView showGridLines="0" zoomScaleNormal="100" workbookViewId="0">
      <pane ySplit="7" topLeftCell="A11" activePane="bottomLeft" state="frozen"/>
      <selection pane="bottomLeft" activeCell="D17" sqref="D17"/>
    </sheetView>
  </sheetViews>
  <sheetFormatPr baseColWidth="10" defaultColWidth="8.703125" defaultRowHeight="14.35" x14ac:dyDescent="0.5"/>
  <cols>
    <col min="1" max="2" width="9" customWidth="1"/>
    <col min="3" max="3" width="26" customWidth="1"/>
    <col min="4" max="4" width="38" customWidth="1"/>
    <col min="5" max="5" width="60" customWidth="1"/>
    <col min="6" max="6" width="12" customWidth="1"/>
    <col min="7" max="7" width="14" customWidth="1"/>
  </cols>
  <sheetData>
    <row r="1" spans="1:7" ht="25.5" customHeight="1" x14ac:dyDescent="0.5">
      <c r="A1" s="76" t="s">
        <v>541</v>
      </c>
      <c r="B1" s="70"/>
      <c r="C1" s="70"/>
      <c r="D1" s="70"/>
      <c r="E1" s="70"/>
      <c r="F1" s="70"/>
      <c r="G1" s="70"/>
    </row>
    <row r="2" spans="1:7" ht="25.5" customHeight="1" x14ac:dyDescent="0.5">
      <c r="A2" s="70"/>
      <c r="B2" s="70"/>
      <c r="C2" s="70"/>
      <c r="D2" s="70"/>
      <c r="E2" s="70"/>
      <c r="F2" s="70"/>
      <c r="G2" s="70"/>
    </row>
    <row r="4" spans="1:7" ht="87.75" customHeight="1" x14ac:dyDescent="0.5">
      <c r="A4" s="78" t="s">
        <v>542</v>
      </c>
      <c r="B4" s="79"/>
      <c r="C4" s="79"/>
      <c r="D4" s="79"/>
      <c r="E4" s="79"/>
      <c r="F4" s="79"/>
      <c r="G4" s="79"/>
    </row>
    <row r="6" spans="1:7" ht="21.75" customHeight="1" x14ac:dyDescent="0.5">
      <c r="A6" s="88" t="s">
        <v>543</v>
      </c>
      <c r="B6" s="70"/>
      <c r="C6" s="70"/>
      <c r="D6" s="70"/>
      <c r="E6" s="70"/>
      <c r="F6" s="70"/>
      <c r="G6" s="70"/>
    </row>
    <row r="7" spans="1:7" ht="31.5" customHeight="1" x14ac:dyDescent="0.5">
      <c r="A7" s="1" t="s">
        <v>544</v>
      </c>
      <c r="B7" s="1" t="s">
        <v>545</v>
      </c>
      <c r="C7" s="1" t="s">
        <v>371</v>
      </c>
      <c r="D7" s="1" t="s">
        <v>372</v>
      </c>
      <c r="E7" s="1" t="s">
        <v>546</v>
      </c>
      <c r="F7" s="1" t="s">
        <v>267</v>
      </c>
      <c r="G7" s="1" t="s">
        <v>547</v>
      </c>
    </row>
    <row r="8" spans="1:7" ht="129.75" customHeight="1" x14ac:dyDescent="0.5">
      <c r="A8" s="3" t="s">
        <v>548</v>
      </c>
      <c r="B8" s="3" t="s">
        <v>378</v>
      </c>
      <c r="C8" s="5" t="s">
        <v>379</v>
      </c>
      <c r="D8" s="5" t="s">
        <v>380</v>
      </c>
      <c r="E8" s="5" t="s">
        <v>549</v>
      </c>
      <c r="F8" s="19" t="s">
        <v>240</v>
      </c>
      <c r="G8" s="3" t="s">
        <v>269</v>
      </c>
    </row>
    <row r="9" spans="1:7" ht="129.75" customHeight="1" x14ac:dyDescent="0.5">
      <c r="A9" s="7" t="s">
        <v>550</v>
      </c>
      <c r="B9" s="7" t="s">
        <v>384</v>
      </c>
      <c r="C9" s="8" t="s">
        <v>385</v>
      </c>
      <c r="D9" s="8" t="s">
        <v>386</v>
      </c>
      <c r="E9" s="8" t="s">
        <v>551</v>
      </c>
      <c r="F9" s="16" t="s">
        <v>233</v>
      </c>
      <c r="G9" s="7" t="s">
        <v>387</v>
      </c>
    </row>
    <row r="10" spans="1:7" ht="129.75" customHeight="1" x14ac:dyDescent="0.5">
      <c r="A10" s="3" t="s">
        <v>552</v>
      </c>
      <c r="B10" s="3" t="s">
        <v>388</v>
      </c>
      <c r="C10" s="5" t="s">
        <v>385</v>
      </c>
      <c r="D10" s="5" t="s">
        <v>553</v>
      </c>
      <c r="E10" s="5" t="s">
        <v>554</v>
      </c>
      <c r="F10" s="16" t="s">
        <v>233</v>
      </c>
      <c r="G10" s="3" t="s">
        <v>287</v>
      </c>
    </row>
    <row r="11" spans="1:7" ht="129.75" customHeight="1" x14ac:dyDescent="0.5">
      <c r="A11" s="7" t="s">
        <v>555</v>
      </c>
      <c r="B11" s="7" t="s">
        <v>390</v>
      </c>
      <c r="C11" s="8" t="s">
        <v>391</v>
      </c>
      <c r="D11" s="8" t="s">
        <v>556</v>
      </c>
      <c r="E11" s="8" t="s">
        <v>557</v>
      </c>
      <c r="F11" s="19" t="s">
        <v>240</v>
      </c>
      <c r="G11" s="7" t="s">
        <v>280</v>
      </c>
    </row>
    <row r="12" spans="1:7" ht="129.75" customHeight="1" x14ac:dyDescent="0.5">
      <c r="A12" s="3" t="s">
        <v>558</v>
      </c>
      <c r="B12" s="3" t="s">
        <v>559</v>
      </c>
      <c r="C12" s="5" t="s">
        <v>399</v>
      </c>
      <c r="D12" s="5" t="s">
        <v>400</v>
      </c>
      <c r="E12" s="5" t="s">
        <v>560</v>
      </c>
      <c r="F12" s="19" t="s">
        <v>240</v>
      </c>
      <c r="G12" s="3" t="s">
        <v>291</v>
      </c>
    </row>
    <row r="13" spans="1:7" ht="129.75" customHeight="1" x14ac:dyDescent="0.5">
      <c r="A13" s="7" t="s">
        <v>561</v>
      </c>
      <c r="B13" s="7" t="s">
        <v>562</v>
      </c>
      <c r="C13" s="8" t="s">
        <v>399</v>
      </c>
      <c r="D13" s="8" t="s">
        <v>402</v>
      </c>
      <c r="E13" s="8" t="s">
        <v>563</v>
      </c>
      <c r="F13" s="19" t="s">
        <v>240</v>
      </c>
      <c r="G13" s="7" t="s">
        <v>403</v>
      </c>
    </row>
  </sheetData>
  <mergeCells count="3">
    <mergeCell ref="A6:G6"/>
    <mergeCell ref="A1:G2"/>
    <mergeCell ref="A4:G4"/>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4"/>
  <sheetViews>
    <sheetView showGridLines="0" zoomScale="70" zoomScaleNormal="70" workbookViewId="0">
      <pane ySplit="7" topLeftCell="A10" activePane="bottomLeft" state="frozen"/>
      <selection pane="bottomLeft" activeCell="D8" sqref="D8"/>
    </sheetView>
  </sheetViews>
  <sheetFormatPr baseColWidth="10" defaultColWidth="8.703125" defaultRowHeight="14.35" x14ac:dyDescent="0.5"/>
  <cols>
    <col min="1" max="1" width="9" customWidth="1"/>
    <col min="2" max="2" width="24" customWidth="1"/>
    <col min="3" max="3" width="40" customWidth="1"/>
    <col min="4" max="4" width="70" customWidth="1"/>
    <col min="5" max="5" width="14" customWidth="1"/>
    <col min="6" max="6" width="16" customWidth="1"/>
  </cols>
  <sheetData>
    <row r="1" spans="1:6" ht="25.5" customHeight="1" x14ac:dyDescent="0.5">
      <c r="A1" s="76" t="s">
        <v>564</v>
      </c>
      <c r="B1" s="70"/>
      <c r="C1" s="70"/>
      <c r="D1" s="70"/>
      <c r="E1" s="70"/>
      <c r="F1" s="70"/>
    </row>
    <row r="2" spans="1:6" ht="25.5" customHeight="1" x14ac:dyDescent="0.5">
      <c r="A2" s="70"/>
      <c r="B2" s="70"/>
      <c r="C2" s="70"/>
      <c r="D2" s="70"/>
      <c r="E2" s="70"/>
      <c r="F2" s="70"/>
    </row>
    <row r="4" spans="1:6" ht="109.5" customHeight="1" x14ac:dyDescent="0.5">
      <c r="A4" s="78" t="s">
        <v>565</v>
      </c>
      <c r="B4" s="79"/>
      <c r="C4" s="79"/>
      <c r="D4" s="79"/>
      <c r="E4" s="79"/>
      <c r="F4" s="79"/>
    </row>
    <row r="6" spans="1:6" ht="21.75" customHeight="1" x14ac:dyDescent="0.5">
      <c r="A6" s="88" t="s">
        <v>566</v>
      </c>
      <c r="B6" s="70"/>
      <c r="C6" s="70"/>
      <c r="D6" s="70"/>
      <c r="E6" s="70"/>
      <c r="F6" s="70"/>
    </row>
    <row r="7" spans="1:6" ht="36" customHeight="1" x14ac:dyDescent="0.5">
      <c r="A7" s="1" t="s">
        <v>491</v>
      </c>
      <c r="B7" s="1" t="s">
        <v>567</v>
      </c>
      <c r="C7" s="1" t="s">
        <v>546</v>
      </c>
      <c r="D7" s="1" t="s">
        <v>568</v>
      </c>
      <c r="E7" s="1" t="s">
        <v>569</v>
      </c>
      <c r="F7" s="1" t="s">
        <v>570</v>
      </c>
    </row>
    <row r="8" spans="1:6" ht="159.75" customHeight="1" x14ac:dyDescent="0.5">
      <c r="A8" s="3" t="s">
        <v>512</v>
      </c>
      <c r="B8" s="5" t="s">
        <v>514</v>
      </c>
      <c r="C8" s="5" t="s">
        <v>571</v>
      </c>
      <c r="D8" s="5" t="s">
        <v>572</v>
      </c>
      <c r="E8" s="42">
        <v>2.25</v>
      </c>
      <c r="F8" s="42">
        <v>1</v>
      </c>
    </row>
    <row r="9" spans="1:6" ht="159.75" customHeight="1" x14ac:dyDescent="0.5">
      <c r="A9" s="7" t="s">
        <v>495</v>
      </c>
      <c r="B9" s="8" t="s">
        <v>497</v>
      </c>
      <c r="C9" s="8" t="s">
        <v>573</v>
      </c>
      <c r="D9" s="8" t="s">
        <v>574</v>
      </c>
      <c r="E9" s="42">
        <v>1.5</v>
      </c>
      <c r="F9" s="42">
        <v>1</v>
      </c>
    </row>
    <row r="10" spans="1:6" ht="159.75" customHeight="1" x14ac:dyDescent="0.5">
      <c r="A10" s="3" t="s">
        <v>500</v>
      </c>
      <c r="B10" s="5" t="s">
        <v>501</v>
      </c>
      <c r="C10" s="5" t="s">
        <v>575</v>
      </c>
      <c r="D10" s="5" t="s">
        <v>576</v>
      </c>
      <c r="E10" s="42">
        <v>0.44</v>
      </c>
      <c r="F10" s="42">
        <v>0.33</v>
      </c>
    </row>
    <row r="11" spans="1:6" ht="159.75" customHeight="1" x14ac:dyDescent="0.5">
      <c r="A11" s="7" t="s">
        <v>521</v>
      </c>
      <c r="B11" s="8" t="s">
        <v>522</v>
      </c>
      <c r="C11" s="8" t="s">
        <v>577</v>
      </c>
      <c r="D11" s="8" t="s">
        <v>578</v>
      </c>
      <c r="E11" s="42">
        <v>0.22</v>
      </c>
      <c r="F11" s="42">
        <v>0.22</v>
      </c>
    </row>
    <row r="13" spans="1:6" ht="21.75" customHeight="1" x14ac:dyDescent="0.5">
      <c r="A13" s="88" t="s">
        <v>579</v>
      </c>
      <c r="B13" s="70"/>
      <c r="C13" s="70"/>
      <c r="D13" s="70"/>
      <c r="E13" s="70"/>
      <c r="F13" s="70"/>
    </row>
    <row r="14" spans="1:6" ht="69.75" customHeight="1" x14ac:dyDescent="0.5">
      <c r="A14" s="78" t="s">
        <v>580</v>
      </c>
      <c r="B14" s="79"/>
      <c r="C14" s="79"/>
      <c r="D14" s="79"/>
      <c r="E14" s="79"/>
      <c r="F14" s="79"/>
    </row>
  </sheetData>
  <mergeCells count="5">
    <mergeCell ref="A13:F13"/>
    <mergeCell ref="A14:F14"/>
    <mergeCell ref="A1:F2"/>
    <mergeCell ref="A6:F6"/>
    <mergeCell ref="A4:F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1"/>
  <sheetViews>
    <sheetView showGridLines="0" workbookViewId="0">
      <pane ySplit="3" topLeftCell="A4" activePane="bottomLeft" state="frozen"/>
      <selection pane="bottomLeft" activeCell="C19" sqref="C19"/>
    </sheetView>
  </sheetViews>
  <sheetFormatPr baseColWidth="10" defaultColWidth="8.9375" defaultRowHeight="14.35" x14ac:dyDescent="0.5"/>
  <cols>
    <col min="1" max="1" width="12" customWidth="1"/>
    <col min="2" max="2" width="28" customWidth="1"/>
    <col min="3" max="3" width="70" customWidth="1"/>
  </cols>
  <sheetData>
    <row r="1" spans="1:3" ht="26" customHeight="1" x14ac:dyDescent="0.5">
      <c r="A1" s="102" t="s">
        <v>581</v>
      </c>
      <c r="B1" s="70"/>
      <c r="C1" s="70"/>
    </row>
    <row r="2" spans="1:3" ht="26" customHeight="1" x14ac:dyDescent="0.5">
      <c r="A2" s="70"/>
      <c r="B2" s="70"/>
      <c r="C2" s="70"/>
    </row>
    <row r="4" spans="1:3" ht="84" customHeight="1" x14ac:dyDescent="0.5">
      <c r="A4" s="101" t="s">
        <v>582</v>
      </c>
      <c r="B4" s="79"/>
      <c r="C4" s="94"/>
    </row>
    <row r="6" spans="1:3" ht="22" customHeight="1" x14ac:dyDescent="0.5">
      <c r="A6" s="103" t="s">
        <v>583</v>
      </c>
      <c r="B6" s="70"/>
      <c r="C6" s="70"/>
    </row>
    <row r="7" spans="1:3" ht="28" customHeight="1" x14ac:dyDescent="0.5">
      <c r="A7" s="58" t="s">
        <v>226</v>
      </c>
      <c r="B7" s="58" t="s">
        <v>227</v>
      </c>
      <c r="C7" s="58" t="s">
        <v>109</v>
      </c>
    </row>
    <row r="8" spans="1:3" ht="56" customHeight="1" x14ac:dyDescent="0.5">
      <c r="A8" s="59" t="s">
        <v>584</v>
      </c>
      <c r="B8" s="60" t="s">
        <v>585</v>
      </c>
      <c r="C8" s="61" t="s">
        <v>586</v>
      </c>
    </row>
    <row r="9" spans="1:3" ht="56" customHeight="1" x14ac:dyDescent="0.5">
      <c r="A9" s="62" t="s">
        <v>587</v>
      </c>
      <c r="B9" s="60" t="s">
        <v>588</v>
      </c>
      <c r="C9" s="61" t="s">
        <v>589</v>
      </c>
    </row>
    <row r="10" spans="1:3" ht="56" customHeight="1" x14ac:dyDescent="0.5">
      <c r="A10" s="63" t="s">
        <v>590</v>
      </c>
      <c r="B10" s="60" t="s">
        <v>591</v>
      </c>
      <c r="C10" s="61" t="s">
        <v>592</v>
      </c>
    </row>
    <row r="11" spans="1:3" ht="56" customHeight="1" x14ac:dyDescent="0.5">
      <c r="A11" s="64" t="s">
        <v>593</v>
      </c>
      <c r="B11" s="60" t="s">
        <v>594</v>
      </c>
      <c r="C11" s="61" t="s">
        <v>595</v>
      </c>
    </row>
  </sheetData>
  <mergeCells count="3">
    <mergeCell ref="A4:C4"/>
    <mergeCell ref="A1:C2"/>
    <mergeCell ref="A6:C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08"/>
  <sheetViews>
    <sheetView showGridLines="0" tabSelected="1" workbookViewId="0">
      <pane ySplit="3" topLeftCell="A20" activePane="bottomLeft" state="frozen"/>
      <selection pane="bottomLeft" sqref="A1:I2"/>
    </sheetView>
  </sheetViews>
  <sheetFormatPr baseColWidth="10" defaultColWidth="8.9375" defaultRowHeight="14.35" x14ac:dyDescent="0.5"/>
  <cols>
    <col min="1" max="1" width="4" customWidth="1"/>
    <col min="2" max="9" width="25" customWidth="1"/>
  </cols>
  <sheetData>
    <row r="1" spans="1:9" ht="26" customHeight="1" x14ac:dyDescent="0.5">
      <c r="A1" s="73" t="s">
        <v>0</v>
      </c>
      <c r="B1" s="70"/>
      <c r="C1" s="70"/>
      <c r="D1" s="70"/>
      <c r="E1" s="70"/>
      <c r="F1" s="70"/>
      <c r="G1" s="70"/>
      <c r="H1" s="70"/>
      <c r="I1" s="70"/>
    </row>
    <row r="2" spans="1:9" ht="26" customHeight="1" x14ac:dyDescent="0.5">
      <c r="A2" s="70"/>
      <c r="B2" s="70"/>
      <c r="C2" s="70"/>
      <c r="D2" s="70"/>
      <c r="E2" s="70"/>
      <c r="F2" s="70"/>
      <c r="G2" s="70"/>
      <c r="H2" s="70"/>
      <c r="I2" s="70"/>
    </row>
    <row r="4" spans="1:9" ht="130" customHeight="1" x14ac:dyDescent="0.5">
      <c r="A4" s="74" t="s">
        <v>1</v>
      </c>
      <c r="B4" s="70"/>
      <c r="C4" s="70"/>
      <c r="D4" s="70"/>
      <c r="E4" s="70"/>
      <c r="F4" s="70"/>
      <c r="G4" s="70"/>
      <c r="H4" s="70"/>
      <c r="I4" s="70"/>
    </row>
    <row r="6" spans="1:9" ht="26" customHeight="1" x14ac:dyDescent="0.5">
      <c r="A6" s="71" t="s">
        <v>2</v>
      </c>
      <c r="B6" s="70"/>
      <c r="C6" s="70"/>
      <c r="D6" s="70"/>
      <c r="E6" s="70"/>
      <c r="F6" s="70"/>
      <c r="G6" s="70"/>
      <c r="H6" s="70"/>
      <c r="I6" s="70"/>
    </row>
    <row r="35" spans="1:9" ht="180.35" customHeight="1" x14ac:dyDescent="0.5"/>
    <row r="37" spans="1:9" ht="24" customHeight="1" x14ac:dyDescent="0.5">
      <c r="B37" s="67" t="s">
        <v>3</v>
      </c>
      <c r="C37" s="72" t="s">
        <v>4</v>
      </c>
      <c r="D37" s="70"/>
      <c r="E37" s="70"/>
      <c r="F37" s="70"/>
      <c r="G37" s="70"/>
      <c r="H37" s="70"/>
      <c r="I37" s="70"/>
    </row>
    <row r="38" spans="1:9" ht="80" customHeight="1" x14ac:dyDescent="0.5">
      <c r="B38" s="68" t="s">
        <v>5</v>
      </c>
      <c r="C38" s="69" t="s">
        <v>6</v>
      </c>
      <c r="D38" s="70"/>
      <c r="E38" s="70"/>
      <c r="F38" s="70"/>
      <c r="G38" s="70"/>
      <c r="H38" s="70"/>
      <c r="I38" s="70"/>
    </row>
    <row r="40" spans="1:9" ht="26" customHeight="1" x14ac:dyDescent="0.5">
      <c r="A40" s="71" t="s">
        <v>7</v>
      </c>
      <c r="B40" s="70"/>
      <c r="C40" s="70"/>
      <c r="D40" s="70"/>
      <c r="E40" s="70"/>
      <c r="F40" s="70"/>
      <c r="G40" s="70"/>
      <c r="H40" s="70"/>
      <c r="I40" s="70"/>
    </row>
    <row r="69" spans="1:9" ht="182.7" customHeight="1" x14ac:dyDescent="0.5"/>
    <row r="71" spans="1:9" ht="24" customHeight="1" x14ac:dyDescent="0.5">
      <c r="B71" s="67" t="s">
        <v>3</v>
      </c>
      <c r="C71" s="72" t="s">
        <v>4</v>
      </c>
      <c r="D71" s="70"/>
      <c r="E71" s="70"/>
      <c r="F71" s="70"/>
      <c r="G71" s="70"/>
      <c r="H71" s="70"/>
      <c r="I71" s="70"/>
    </row>
    <row r="72" spans="1:9" ht="96" customHeight="1" x14ac:dyDescent="0.5">
      <c r="B72" s="68" t="s">
        <v>8</v>
      </c>
      <c r="C72" s="69" t="s">
        <v>9</v>
      </c>
      <c r="D72" s="70"/>
      <c r="E72" s="70"/>
      <c r="F72" s="70"/>
      <c r="G72" s="70"/>
      <c r="H72" s="70"/>
      <c r="I72" s="70"/>
    </row>
    <row r="74" spans="1:9" ht="26" customHeight="1" x14ac:dyDescent="0.5">
      <c r="A74" s="71" t="s">
        <v>10</v>
      </c>
      <c r="B74" s="70"/>
      <c r="C74" s="70"/>
      <c r="D74" s="70"/>
      <c r="E74" s="70"/>
      <c r="F74" s="70"/>
      <c r="G74" s="70"/>
      <c r="H74" s="70"/>
      <c r="I74" s="70"/>
    </row>
    <row r="104" spans="1:9" ht="169" customHeight="1" x14ac:dyDescent="0.5"/>
    <row r="105" spans="1:9" ht="24" customHeight="1" x14ac:dyDescent="0.5">
      <c r="B105" s="67" t="s">
        <v>3</v>
      </c>
      <c r="C105" s="72" t="s">
        <v>4</v>
      </c>
      <c r="D105" s="70"/>
      <c r="E105" s="70"/>
      <c r="F105" s="70"/>
      <c r="G105" s="70"/>
      <c r="H105" s="70"/>
      <c r="I105" s="70"/>
    </row>
    <row r="106" spans="1:9" ht="80" customHeight="1" x14ac:dyDescent="0.5">
      <c r="B106" s="68" t="s">
        <v>11</v>
      </c>
      <c r="C106" s="69" t="s">
        <v>12</v>
      </c>
      <c r="D106" s="70"/>
      <c r="E106" s="70"/>
      <c r="F106" s="70"/>
      <c r="G106" s="70"/>
      <c r="H106" s="70"/>
      <c r="I106" s="70"/>
    </row>
    <row r="108" spans="1:9" ht="26" customHeight="1" x14ac:dyDescent="0.5">
      <c r="A108" s="71" t="s">
        <v>13</v>
      </c>
      <c r="B108" s="70"/>
      <c r="C108" s="70"/>
      <c r="D108" s="70"/>
      <c r="E108" s="70"/>
      <c r="F108" s="70"/>
      <c r="G108" s="70"/>
      <c r="H108" s="70"/>
      <c r="I108" s="70"/>
    </row>
    <row r="138" spans="1:9" ht="152" customHeight="1" x14ac:dyDescent="0.5"/>
    <row r="139" spans="1:9" ht="24" customHeight="1" x14ac:dyDescent="0.5">
      <c r="B139" s="67" t="s">
        <v>3</v>
      </c>
      <c r="C139" s="72" t="s">
        <v>4</v>
      </c>
      <c r="D139" s="70"/>
      <c r="E139" s="70"/>
      <c r="F139" s="70"/>
      <c r="G139" s="70"/>
      <c r="H139" s="70"/>
      <c r="I139" s="70"/>
    </row>
    <row r="140" spans="1:9" ht="80" customHeight="1" x14ac:dyDescent="0.5">
      <c r="B140" s="68" t="s">
        <v>14</v>
      </c>
      <c r="C140" s="69" t="s">
        <v>15</v>
      </c>
      <c r="D140" s="70"/>
      <c r="E140" s="70"/>
      <c r="F140" s="70"/>
      <c r="G140" s="70"/>
      <c r="H140" s="70"/>
      <c r="I140" s="70"/>
    </row>
    <row r="142" spans="1:9" ht="26" customHeight="1" x14ac:dyDescent="0.5">
      <c r="A142" s="71" t="s">
        <v>16</v>
      </c>
      <c r="B142" s="70"/>
      <c r="C142" s="70"/>
      <c r="D142" s="70"/>
      <c r="E142" s="70"/>
      <c r="F142" s="70"/>
      <c r="G142" s="70"/>
      <c r="H142" s="70"/>
      <c r="I142" s="70"/>
    </row>
    <row r="172" spans="1:9" ht="149.35" customHeight="1" x14ac:dyDescent="0.5"/>
    <row r="173" spans="1:9" ht="24" customHeight="1" x14ac:dyDescent="0.5">
      <c r="B173" s="67" t="s">
        <v>3</v>
      </c>
      <c r="C173" s="72" t="s">
        <v>4</v>
      </c>
      <c r="D173" s="70"/>
      <c r="E173" s="70"/>
      <c r="F173" s="70"/>
      <c r="G173" s="70"/>
      <c r="H173" s="70"/>
      <c r="I173" s="70"/>
    </row>
    <row r="174" spans="1:9" ht="80" customHeight="1" x14ac:dyDescent="0.5">
      <c r="B174" s="68" t="s">
        <v>17</v>
      </c>
      <c r="C174" s="69" t="s">
        <v>18</v>
      </c>
      <c r="D174" s="70"/>
      <c r="E174" s="70"/>
      <c r="F174" s="70"/>
      <c r="G174" s="70"/>
      <c r="H174" s="70"/>
      <c r="I174" s="70"/>
    </row>
    <row r="176" spans="1:9" ht="26" customHeight="1" x14ac:dyDescent="0.5">
      <c r="A176" s="71" t="s">
        <v>19</v>
      </c>
      <c r="B176" s="70"/>
      <c r="C176" s="70"/>
      <c r="D176" s="70"/>
      <c r="E176" s="70"/>
      <c r="F176" s="70"/>
      <c r="G176" s="70"/>
      <c r="H176" s="70"/>
      <c r="I176" s="70"/>
    </row>
    <row r="206" spans="2:9" ht="151" customHeight="1" x14ac:dyDescent="0.5"/>
    <row r="207" spans="2:9" ht="24" customHeight="1" x14ac:dyDescent="0.5">
      <c r="B207" s="67" t="s">
        <v>3</v>
      </c>
      <c r="C207" s="72" t="s">
        <v>4</v>
      </c>
      <c r="D207" s="70"/>
      <c r="E207" s="70"/>
      <c r="F207" s="70"/>
      <c r="G207" s="70"/>
      <c r="H207" s="70"/>
      <c r="I207" s="70"/>
    </row>
    <row r="208" spans="2:9" ht="80" customHeight="1" x14ac:dyDescent="0.5">
      <c r="B208" s="68" t="s">
        <v>20</v>
      </c>
      <c r="C208" s="69" t="s">
        <v>21</v>
      </c>
      <c r="D208" s="70"/>
      <c r="E208" s="70"/>
      <c r="F208" s="70"/>
      <c r="G208" s="70"/>
      <c r="H208" s="70"/>
      <c r="I208" s="70"/>
    </row>
  </sheetData>
  <mergeCells count="20">
    <mergeCell ref="C37:I37"/>
    <mergeCell ref="C208:I208"/>
    <mergeCell ref="C140:I140"/>
    <mergeCell ref="A1:I2"/>
    <mergeCell ref="A4:I4"/>
    <mergeCell ref="A40:I40"/>
    <mergeCell ref="A176:I176"/>
    <mergeCell ref="A142:I142"/>
    <mergeCell ref="C173:I173"/>
    <mergeCell ref="C105:I105"/>
    <mergeCell ref="C139:I139"/>
    <mergeCell ref="A6:I6"/>
    <mergeCell ref="C207:I207"/>
    <mergeCell ref="C71:I71"/>
    <mergeCell ref="C106:I106"/>
    <mergeCell ref="A108:I108"/>
    <mergeCell ref="C38:I38"/>
    <mergeCell ref="C72:I72"/>
    <mergeCell ref="C174:I174"/>
    <mergeCell ref="A74:I74"/>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
  <sheetViews>
    <sheetView showGridLines="0" workbookViewId="0">
      <pane ySplit="7" topLeftCell="A10" activePane="bottomLeft" state="frozen"/>
      <selection pane="bottomLeft" sqref="A1:F2"/>
    </sheetView>
  </sheetViews>
  <sheetFormatPr baseColWidth="10" defaultColWidth="8.9375" defaultRowHeight="14.35" x14ac:dyDescent="0.5"/>
  <cols>
    <col min="1" max="1" width="9" customWidth="1"/>
    <col min="2" max="2" width="28" customWidth="1"/>
    <col min="3" max="3" width="45" customWidth="1"/>
    <col min="4" max="5" width="12" customWidth="1"/>
    <col min="6" max="6" width="18" customWidth="1"/>
  </cols>
  <sheetData>
    <row r="1" spans="1:6" ht="26" customHeight="1" x14ac:dyDescent="0.5">
      <c r="A1" s="102" t="s">
        <v>596</v>
      </c>
      <c r="B1" s="70"/>
      <c r="C1" s="70"/>
      <c r="D1" s="70"/>
      <c r="E1" s="70"/>
      <c r="F1" s="70"/>
    </row>
    <row r="2" spans="1:6" ht="26" customHeight="1" x14ac:dyDescent="0.5">
      <c r="A2" s="70"/>
      <c r="B2" s="70"/>
      <c r="C2" s="70"/>
      <c r="D2" s="70"/>
      <c r="E2" s="70"/>
      <c r="F2" s="70"/>
    </row>
    <row r="4" spans="1:6" ht="72" customHeight="1" x14ac:dyDescent="0.5">
      <c r="A4" s="101" t="s">
        <v>597</v>
      </c>
      <c r="B4" s="79"/>
      <c r="C4" s="79"/>
      <c r="D4" s="79"/>
      <c r="E4" s="79"/>
      <c r="F4" s="94"/>
    </row>
    <row r="6" spans="1:6" ht="22" customHeight="1" x14ac:dyDescent="0.5">
      <c r="A6" s="103" t="s">
        <v>598</v>
      </c>
      <c r="B6" s="70"/>
      <c r="C6" s="70"/>
      <c r="D6" s="70"/>
      <c r="E6" s="70"/>
      <c r="F6" s="70"/>
    </row>
    <row r="7" spans="1:6" ht="36" customHeight="1" x14ac:dyDescent="0.5">
      <c r="A7" s="58" t="s">
        <v>599</v>
      </c>
      <c r="B7" s="58" t="s">
        <v>371</v>
      </c>
      <c r="C7" s="58" t="s">
        <v>600</v>
      </c>
      <c r="D7" s="58" t="s">
        <v>267</v>
      </c>
      <c r="E7" s="58" t="s">
        <v>601</v>
      </c>
      <c r="F7" s="58" t="s">
        <v>602</v>
      </c>
    </row>
    <row r="8" spans="1:6" ht="52" customHeight="1" x14ac:dyDescent="0.5">
      <c r="A8" s="60" t="s">
        <v>603</v>
      </c>
      <c r="B8" s="61" t="s">
        <v>379</v>
      </c>
      <c r="C8" s="61" t="s">
        <v>604</v>
      </c>
      <c r="D8" s="63" t="s">
        <v>240</v>
      </c>
      <c r="E8" s="63" t="s">
        <v>590</v>
      </c>
      <c r="F8" s="60" t="s">
        <v>605</v>
      </c>
    </row>
    <row r="9" spans="1:6" ht="52" customHeight="1" x14ac:dyDescent="0.5">
      <c r="A9" s="65" t="s">
        <v>606</v>
      </c>
      <c r="B9" s="66" t="s">
        <v>385</v>
      </c>
      <c r="C9" s="66" t="s">
        <v>607</v>
      </c>
      <c r="D9" s="64" t="s">
        <v>233</v>
      </c>
      <c r="E9" s="64" t="s">
        <v>593</v>
      </c>
      <c r="F9" s="65" t="s">
        <v>608</v>
      </c>
    </row>
    <row r="10" spans="1:6" ht="52" customHeight="1" x14ac:dyDescent="0.5">
      <c r="A10" s="60" t="s">
        <v>609</v>
      </c>
      <c r="B10" s="61" t="s">
        <v>385</v>
      </c>
      <c r="C10" s="61" t="s">
        <v>610</v>
      </c>
      <c r="D10" s="64" t="s">
        <v>233</v>
      </c>
      <c r="E10" s="63" t="s">
        <v>590</v>
      </c>
      <c r="F10" s="60" t="s">
        <v>611</v>
      </c>
    </row>
    <row r="11" spans="1:6" ht="52" customHeight="1" x14ac:dyDescent="0.5">
      <c r="A11" s="65" t="s">
        <v>612</v>
      </c>
      <c r="B11" s="66" t="s">
        <v>391</v>
      </c>
      <c r="C11" s="66" t="s">
        <v>613</v>
      </c>
      <c r="D11" s="63" t="s">
        <v>240</v>
      </c>
      <c r="E11" s="62" t="s">
        <v>587</v>
      </c>
      <c r="F11" s="65" t="s">
        <v>614</v>
      </c>
    </row>
    <row r="12" spans="1:6" ht="52" customHeight="1" x14ac:dyDescent="0.5">
      <c r="A12" s="60" t="s">
        <v>615</v>
      </c>
      <c r="B12" s="61" t="s">
        <v>399</v>
      </c>
      <c r="C12" s="61" t="s">
        <v>616</v>
      </c>
      <c r="D12" s="63" t="s">
        <v>240</v>
      </c>
      <c r="E12" s="62" t="s">
        <v>587</v>
      </c>
      <c r="F12" s="60" t="s">
        <v>614</v>
      </c>
    </row>
    <row r="13" spans="1:6" ht="52" customHeight="1" x14ac:dyDescent="0.5">
      <c r="A13" s="65" t="s">
        <v>617</v>
      </c>
      <c r="B13" s="66" t="s">
        <v>399</v>
      </c>
      <c r="C13" s="66" t="s">
        <v>618</v>
      </c>
      <c r="D13" s="63" t="s">
        <v>240</v>
      </c>
      <c r="E13" s="62" t="s">
        <v>587</v>
      </c>
      <c r="F13" s="65" t="s">
        <v>614</v>
      </c>
    </row>
  </sheetData>
  <mergeCells count="3">
    <mergeCell ref="A6:F6"/>
    <mergeCell ref="A4:F4"/>
    <mergeCell ref="A1:F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7"/>
  <sheetViews>
    <sheetView showGridLines="0" zoomScaleNormal="100" workbookViewId="0">
      <pane ySplit="3" topLeftCell="A19" activePane="bottomLeft" state="frozen"/>
      <selection pane="bottomLeft" sqref="A1:F2"/>
    </sheetView>
  </sheetViews>
  <sheetFormatPr baseColWidth="10" defaultColWidth="8.703125" defaultRowHeight="14.35" x14ac:dyDescent="0.5"/>
  <cols>
    <col min="1" max="5" width="12" customWidth="1"/>
    <col min="6" max="6" width="35" customWidth="1"/>
  </cols>
  <sheetData>
    <row r="1" spans="1:6" ht="25.5" customHeight="1" x14ac:dyDescent="0.5">
      <c r="A1" s="76" t="s">
        <v>619</v>
      </c>
      <c r="B1" s="70"/>
      <c r="C1" s="70"/>
      <c r="D1" s="70"/>
      <c r="E1" s="70"/>
      <c r="F1" s="70"/>
    </row>
    <row r="2" spans="1:6" ht="25.5" customHeight="1" x14ac:dyDescent="0.5">
      <c r="A2" s="70"/>
      <c r="B2" s="70"/>
      <c r="C2" s="70"/>
      <c r="D2" s="70"/>
      <c r="E2" s="70"/>
      <c r="F2" s="70"/>
    </row>
    <row r="4" spans="1:6" ht="90" customHeight="1" x14ac:dyDescent="0.5">
      <c r="A4" s="78" t="s">
        <v>620</v>
      </c>
      <c r="B4" s="79"/>
      <c r="C4" s="79"/>
      <c r="D4" s="79"/>
      <c r="E4" s="79"/>
      <c r="F4" s="79"/>
    </row>
    <row r="6" spans="1:6" ht="21.75" customHeight="1" x14ac:dyDescent="0.5">
      <c r="A6" s="88" t="s">
        <v>621</v>
      </c>
      <c r="B6" s="70"/>
      <c r="C6" s="70"/>
      <c r="D6" s="70"/>
      <c r="E6" s="70"/>
      <c r="F6" s="70"/>
    </row>
    <row r="7" spans="1:6" ht="27.75" customHeight="1" x14ac:dyDescent="0.5">
      <c r="A7" s="1" t="s">
        <v>622</v>
      </c>
      <c r="B7" s="1" t="s">
        <v>584</v>
      </c>
      <c r="C7" s="1" t="s">
        <v>587</v>
      </c>
      <c r="D7" s="1" t="s">
        <v>590</v>
      </c>
      <c r="E7" s="1" t="s">
        <v>593</v>
      </c>
      <c r="F7" s="1" t="s">
        <v>458</v>
      </c>
    </row>
    <row r="8" spans="1:6" ht="30" customHeight="1" x14ac:dyDescent="0.5">
      <c r="A8" s="3" t="s">
        <v>623</v>
      </c>
      <c r="B8" s="25" t="s">
        <v>624</v>
      </c>
      <c r="C8" s="22" t="s">
        <v>625</v>
      </c>
      <c r="D8" s="16" t="s">
        <v>626</v>
      </c>
      <c r="E8" s="16" t="s">
        <v>627</v>
      </c>
      <c r="F8" s="5" t="s">
        <v>628</v>
      </c>
    </row>
    <row r="9" spans="1:6" ht="30" customHeight="1" x14ac:dyDescent="0.5">
      <c r="A9" s="3" t="s">
        <v>629</v>
      </c>
      <c r="B9" s="25" t="s">
        <v>630</v>
      </c>
      <c r="C9" s="22" t="s">
        <v>631</v>
      </c>
      <c r="D9" s="22" t="s">
        <v>632</v>
      </c>
      <c r="E9" s="16" t="s">
        <v>626</v>
      </c>
      <c r="F9" s="5" t="s">
        <v>633</v>
      </c>
    </row>
    <row r="10" spans="1:6" ht="30" customHeight="1" x14ac:dyDescent="0.5">
      <c r="A10" s="3" t="s">
        <v>634</v>
      </c>
      <c r="B10" s="25" t="s">
        <v>635</v>
      </c>
      <c r="C10" s="25" t="s">
        <v>624</v>
      </c>
      <c r="D10" s="22" t="s">
        <v>631</v>
      </c>
      <c r="E10" s="22" t="s">
        <v>625</v>
      </c>
      <c r="F10" s="5" t="s">
        <v>636</v>
      </c>
    </row>
    <row r="11" spans="1:6" ht="30" customHeight="1" x14ac:dyDescent="0.5">
      <c r="A11" s="3" t="s">
        <v>637</v>
      </c>
      <c r="B11" s="25" t="s">
        <v>638</v>
      </c>
      <c r="C11" s="25" t="s">
        <v>635</v>
      </c>
      <c r="D11" s="25" t="s">
        <v>630</v>
      </c>
      <c r="E11" s="25" t="s">
        <v>624</v>
      </c>
      <c r="F11" s="5" t="s">
        <v>639</v>
      </c>
    </row>
    <row r="13" spans="1:6" ht="21.75" customHeight="1" x14ac:dyDescent="0.5">
      <c r="A13" s="88" t="s">
        <v>640</v>
      </c>
      <c r="B13" s="70"/>
      <c r="C13" s="70"/>
      <c r="D13" s="70"/>
      <c r="E13" s="70"/>
      <c r="F13" s="70"/>
    </row>
    <row r="14" spans="1:6" ht="27.75" customHeight="1" x14ac:dyDescent="0.5">
      <c r="A14" s="1" t="s">
        <v>226</v>
      </c>
      <c r="B14" s="1" t="s">
        <v>455</v>
      </c>
      <c r="C14" s="1" t="s">
        <v>641</v>
      </c>
      <c r="D14" s="1" t="s">
        <v>642</v>
      </c>
      <c r="E14" s="1" t="s">
        <v>376</v>
      </c>
      <c r="F14" s="1" t="s">
        <v>643</v>
      </c>
    </row>
    <row r="15" spans="1:6" ht="55.5" customHeight="1" x14ac:dyDescent="0.5">
      <c r="A15" s="25" t="s">
        <v>644</v>
      </c>
      <c r="B15" s="10" t="s">
        <v>460</v>
      </c>
      <c r="C15" s="10" t="s">
        <v>645</v>
      </c>
      <c r="D15" s="10" t="s">
        <v>646</v>
      </c>
      <c r="E15" s="10" t="s">
        <v>647</v>
      </c>
      <c r="F15" s="5" t="s">
        <v>648</v>
      </c>
    </row>
    <row r="16" spans="1:6" ht="55.5" customHeight="1" x14ac:dyDescent="0.5">
      <c r="A16" s="22" t="s">
        <v>649</v>
      </c>
      <c r="B16" s="10" t="s">
        <v>650</v>
      </c>
      <c r="C16" s="10" t="s">
        <v>651</v>
      </c>
      <c r="D16" s="10" t="s">
        <v>652</v>
      </c>
      <c r="E16" s="10" t="s">
        <v>653</v>
      </c>
      <c r="F16" s="5" t="s">
        <v>654</v>
      </c>
    </row>
    <row r="17" spans="1:6" ht="55.5" customHeight="1" x14ac:dyDescent="0.5">
      <c r="A17" s="16" t="s">
        <v>655</v>
      </c>
      <c r="B17" s="10" t="s">
        <v>469</v>
      </c>
      <c r="C17" s="10" t="s">
        <v>656</v>
      </c>
      <c r="D17" s="10" t="s">
        <v>657</v>
      </c>
      <c r="E17" s="10" t="s">
        <v>658</v>
      </c>
      <c r="F17" s="5" t="s">
        <v>659</v>
      </c>
    </row>
  </sheetData>
  <mergeCells count="4">
    <mergeCell ref="A13:F13"/>
    <mergeCell ref="A6:F6"/>
    <mergeCell ref="A1:F2"/>
    <mergeCell ref="A4:F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Normal="100" workbookViewId="0">
      <pane ySplit="7" topLeftCell="A8" activePane="bottomLeft" state="frozen"/>
      <selection pane="bottomLeft" activeCell="A4" sqref="A4:H4"/>
    </sheetView>
  </sheetViews>
  <sheetFormatPr baseColWidth="10" defaultColWidth="8.703125" defaultRowHeight="14.35" x14ac:dyDescent="0.5"/>
  <cols>
    <col min="1" max="1" width="10" customWidth="1"/>
    <col min="2" max="2" width="35" customWidth="1"/>
    <col min="3" max="4" width="12" customWidth="1"/>
    <col min="5" max="5" width="14" customWidth="1"/>
    <col min="6" max="7" width="12" customWidth="1"/>
    <col min="8" max="8" width="14" customWidth="1"/>
  </cols>
  <sheetData>
    <row r="1" spans="1:8" ht="25.5" customHeight="1" x14ac:dyDescent="0.5">
      <c r="A1" s="76" t="s">
        <v>660</v>
      </c>
      <c r="B1" s="70"/>
      <c r="C1" s="70"/>
      <c r="D1" s="70"/>
      <c r="E1" s="70"/>
      <c r="F1" s="70"/>
      <c r="G1" s="70"/>
      <c r="H1" s="70"/>
    </row>
    <row r="2" spans="1:8" ht="25.5" customHeight="1" x14ac:dyDescent="0.5">
      <c r="A2" s="70"/>
      <c r="B2" s="70"/>
      <c r="C2" s="70"/>
      <c r="D2" s="70"/>
      <c r="E2" s="70"/>
      <c r="F2" s="70"/>
      <c r="G2" s="70"/>
      <c r="H2" s="70"/>
    </row>
    <row r="4" spans="1:8" ht="84" customHeight="1" x14ac:dyDescent="0.5">
      <c r="A4" s="78" t="s">
        <v>661</v>
      </c>
      <c r="B4" s="79"/>
      <c r="C4" s="79"/>
      <c r="D4" s="79"/>
      <c r="E4" s="79"/>
      <c r="F4" s="79"/>
      <c r="G4" s="79"/>
      <c r="H4" s="79"/>
    </row>
    <row r="6" spans="1:8" ht="21.75" customHeight="1" x14ac:dyDescent="0.5">
      <c r="A6" s="88" t="s">
        <v>662</v>
      </c>
      <c r="B6" s="70"/>
      <c r="C6" s="70"/>
      <c r="D6" s="70"/>
      <c r="E6" s="70"/>
      <c r="F6" s="70"/>
      <c r="G6" s="70"/>
      <c r="H6" s="70"/>
    </row>
    <row r="7" spans="1:8" ht="36" customHeight="1" x14ac:dyDescent="0.5">
      <c r="A7" s="1" t="s">
        <v>663</v>
      </c>
      <c r="B7" s="1" t="s">
        <v>664</v>
      </c>
      <c r="C7" s="1" t="s">
        <v>665</v>
      </c>
      <c r="D7" s="1" t="s">
        <v>666</v>
      </c>
      <c r="E7" s="1" t="s">
        <v>667</v>
      </c>
      <c r="F7" s="1" t="s">
        <v>668</v>
      </c>
      <c r="G7" s="1" t="s">
        <v>669</v>
      </c>
      <c r="H7" s="1" t="s">
        <v>670</v>
      </c>
    </row>
    <row r="8" spans="1:8" ht="37.5" customHeight="1" x14ac:dyDescent="0.5">
      <c r="A8" s="3" t="s">
        <v>671</v>
      </c>
      <c r="B8" s="5" t="s">
        <v>672</v>
      </c>
      <c r="C8" s="19" t="s">
        <v>240</v>
      </c>
      <c r="D8" s="19" t="s">
        <v>590</v>
      </c>
      <c r="E8" s="22" t="s">
        <v>673</v>
      </c>
      <c r="F8" s="19" t="s">
        <v>240</v>
      </c>
      <c r="G8" s="22" t="s">
        <v>587</v>
      </c>
      <c r="H8" s="22" t="s">
        <v>674</v>
      </c>
    </row>
    <row r="9" spans="1:8" ht="37.5" customHeight="1" x14ac:dyDescent="0.5">
      <c r="A9" s="7" t="s">
        <v>675</v>
      </c>
      <c r="B9" s="8" t="s">
        <v>676</v>
      </c>
      <c r="C9" s="16" t="s">
        <v>233</v>
      </c>
      <c r="D9" s="16" t="s">
        <v>593</v>
      </c>
      <c r="E9" s="16" t="s">
        <v>608</v>
      </c>
      <c r="F9" s="19" t="s">
        <v>240</v>
      </c>
      <c r="G9" s="22" t="s">
        <v>587</v>
      </c>
      <c r="H9" s="22" t="s">
        <v>674</v>
      </c>
    </row>
    <row r="10" spans="1:8" ht="37.5" customHeight="1" x14ac:dyDescent="0.5">
      <c r="A10" s="3" t="s">
        <v>677</v>
      </c>
      <c r="B10" s="5" t="s">
        <v>678</v>
      </c>
      <c r="C10" s="16" t="s">
        <v>233</v>
      </c>
      <c r="D10" s="19" t="s">
        <v>590</v>
      </c>
      <c r="E10" s="16" t="s">
        <v>611</v>
      </c>
      <c r="F10" s="16" t="s">
        <v>233</v>
      </c>
      <c r="G10" s="22" t="s">
        <v>587</v>
      </c>
      <c r="H10" s="22" t="s">
        <v>679</v>
      </c>
    </row>
    <row r="11" spans="1:8" ht="37.5" customHeight="1" x14ac:dyDescent="0.5">
      <c r="A11" s="7" t="s">
        <v>680</v>
      </c>
      <c r="B11" s="8" t="s">
        <v>681</v>
      </c>
      <c r="C11" s="19" t="s">
        <v>240</v>
      </c>
      <c r="D11" s="22" t="s">
        <v>587</v>
      </c>
      <c r="E11" s="22" t="s">
        <v>674</v>
      </c>
      <c r="F11" s="19" t="s">
        <v>240</v>
      </c>
      <c r="G11" s="25" t="s">
        <v>584</v>
      </c>
      <c r="H11" s="25" t="s">
        <v>682</v>
      </c>
    </row>
    <row r="12" spans="1:8" ht="37.5" customHeight="1" x14ac:dyDescent="0.5">
      <c r="A12" s="3" t="s">
        <v>683</v>
      </c>
      <c r="B12" s="5" t="s">
        <v>684</v>
      </c>
      <c r="C12" s="19" t="s">
        <v>240</v>
      </c>
      <c r="D12" s="22" t="s">
        <v>587</v>
      </c>
      <c r="E12" s="22" t="s">
        <v>674</v>
      </c>
      <c r="F12" s="19" t="s">
        <v>240</v>
      </c>
      <c r="G12" s="25" t="s">
        <v>584</v>
      </c>
      <c r="H12" s="25" t="s">
        <v>682</v>
      </c>
    </row>
    <row r="13" spans="1:8" ht="37.5" customHeight="1" x14ac:dyDescent="0.5">
      <c r="A13" s="7" t="s">
        <v>685</v>
      </c>
      <c r="B13" s="8" t="s">
        <v>686</v>
      </c>
      <c r="C13" s="19" t="s">
        <v>240</v>
      </c>
      <c r="D13" s="22" t="s">
        <v>587</v>
      </c>
      <c r="E13" s="22" t="s">
        <v>674</v>
      </c>
      <c r="F13" s="22" t="s">
        <v>247</v>
      </c>
      <c r="G13" s="25" t="s">
        <v>584</v>
      </c>
      <c r="H13" s="25" t="s">
        <v>687</v>
      </c>
    </row>
    <row r="16" spans="1:8" ht="21.75" customHeight="1" x14ac:dyDescent="0.5">
      <c r="A16" s="88" t="s">
        <v>688</v>
      </c>
      <c r="B16" s="70"/>
      <c r="C16" s="70"/>
      <c r="D16" s="70"/>
      <c r="E16" s="70"/>
      <c r="F16" s="70"/>
      <c r="G16" s="70"/>
      <c r="H16" s="70"/>
    </row>
  </sheetData>
  <mergeCells count="4">
    <mergeCell ref="A1:H2"/>
    <mergeCell ref="A16:H16"/>
    <mergeCell ref="A6:H6"/>
    <mergeCell ref="A4:H4"/>
  </mergeCells>
  <pageMargins left="0.75" right="0.75" top="1" bottom="1"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3"/>
  <sheetViews>
    <sheetView showGridLines="0" zoomScaleNormal="100" workbookViewId="0">
      <pane ySplit="7" topLeftCell="A9" activePane="bottomLeft" state="frozen"/>
      <selection pane="bottomLeft" sqref="A1:F2"/>
    </sheetView>
  </sheetViews>
  <sheetFormatPr baseColWidth="10" defaultColWidth="8.703125" defaultRowHeight="14.35" x14ac:dyDescent="0.5"/>
  <cols>
    <col min="1" max="1" width="9" customWidth="1"/>
    <col min="2" max="2" width="32" customWidth="1"/>
    <col min="3" max="3" width="14" customWidth="1"/>
    <col min="4" max="4" width="18" customWidth="1"/>
    <col min="5" max="5" width="14" customWidth="1"/>
    <col min="6" max="6" width="50" customWidth="1"/>
  </cols>
  <sheetData>
    <row r="1" spans="1:6" ht="25.5" customHeight="1" x14ac:dyDescent="0.5">
      <c r="A1" s="76" t="s">
        <v>689</v>
      </c>
      <c r="B1" s="70"/>
      <c r="C1" s="70"/>
      <c r="D1" s="70"/>
      <c r="E1" s="70"/>
      <c r="F1" s="70"/>
    </row>
    <row r="2" spans="1:6" ht="25.5" customHeight="1" x14ac:dyDescent="0.5">
      <c r="A2" s="70"/>
      <c r="B2" s="70"/>
      <c r="C2" s="70"/>
      <c r="D2" s="70"/>
      <c r="E2" s="70"/>
      <c r="F2" s="70"/>
    </row>
    <row r="4" spans="1:6" ht="103.5" customHeight="1" x14ac:dyDescent="0.5">
      <c r="A4" s="78" t="s">
        <v>690</v>
      </c>
      <c r="B4" s="79"/>
      <c r="C4" s="79"/>
      <c r="D4" s="79"/>
      <c r="E4" s="79"/>
      <c r="F4" s="79"/>
    </row>
    <row r="6" spans="1:6" ht="21.75" customHeight="1" x14ac:dyDescent="0.5">
      <c r="A6" s="88" t="s">
        <v>691</v>
      </c>
      <c r="B6" s="70"/>
      <c r="C6" s="70"/>
      <c r="D6" s="70"/>
      <c r="E6" s="70"/>
      <c r="F6" s="70"/>
    </row>
    <row r="7" spans="1:6" ht="36" customHeight="1" x14ac:dyDescent="0.5">
      <c r="A7" s="1" t="s">
        <v>663</v>
      </c>
      <c r="B7" s="1" t="s">
        <v>664</v>
      </c>
      <c r="C7" s="1" t="s">
        <v>667</v>
      </c>
      <c r="D7" s="1" t="s">
        <v>692</v>
      </c>
      <c r="E7" s="1" t="s">
        <v>693</v>
      </c>
      <c r="F7" s="1" t="s">
        <v>694</v>
      </c>
    </row>
    <row r="8" spans="1:6" ht="85.5" customHeight="1" x14ac:dyDescent="0.5">
      <c r="A8" s="3" t="s">
        <v>671</v>
      </c>
      <c r="B8" s="5" t="s">
        <v>672</v>
      </c>
      <c r="C8" s="22" t="s">
        <v>673</v>
      </c>
      <c r="D8" s="3" t="s">
        <v>695</v>
      </c>
      <c r="E8" s="22" t="s">
        <v>674</v>
      </c>
      <c r="F8" s="5" t="s">
        <v>696</v>
      </c>
    </row>
    <row r="9" spans="1:6" ht="85.5" customHeight="1" x14ac:dyDescent="0.5">
      <c r="A9" s="7" t="s">
        <v>675</v>
      </c>
      <c r="B9" s="8" t="s">
        <v>676</v>
      </c>
      <c r="C9" s="16" t="s">
        <v>608</v>
      </c>
      <c r="D9" s="7" t="s">
        <v>695</v>
      </c>
      <c r="E9" s="22" t="s">
        <v>674</v>
      </c>
      <c r="F9" s="8" t="s">
        <v>697</v>
      </c>
    </row>
    <row r="10" spans="1:6" ht="85.5" customHeight="1" x14ac:dyDescent="0.5">
      <c r="A10" s="3" t="s">
        <v>677</v>
      </c>
      <c r="B10" s="5" t="s">
        <v>678</v>
      </c>
      <c r="C10" s="16" t="s">
        <v>611</v>
      </c>
      <c r="D10" s="3" t="s">
        <v>695</v>
      </c>
      <c r="E10" s="22" t="s">
        <v>679</v>
      </c>
      <c r="F10" s="5" t="s">
        <v>698</v>
      </c>
    </row>
    <row r="11" spans="1:6" ht="85.5" customHeight="1" x14ac:dyDescent="0.5">
      <c r="A11" s="7" t="s">
        <v>680</v>
      </c>
      <c r="B11" s="8" t="s">
        <v>681</v>
      </c>
      <c r="C11" s="22" t="s">
        <v>674</v>
      </c>
      <c r="D11" s="7" t="s">
        <v>695</v>
      </c>
      <c r="E11" s="25" t="s">
        <v>682</v>
      </c>
      <c r="F11" s="8" t="s">
        <v>699</v>
      </c>
    </row>
    <row r="12" spans="1:6" ht="85.5" customHeight="1" x14ac:dyDescent="0.5">
      <c r="A12" s="3" t="s">
        <v>683</v>
      </c>
      <c r="B12" s="5" t="s">
        <v>684</v>
      </c>
      <c r="C12" s="22" t="s">
        <v>674</v>
      </c>
      <c r="D12" s="3" t="s">
        <v>695</v>
      </c>
      <c r="E12" s="25" t="s">
        <v>682</v>
      </c>
      <c r="F12" s="5" t="s">
        <v>700</v>
      </c>
    </row>
    <row r="13" spans="1:6" ht="85.5" customHeight="1" x14ac:dyDescent="0.5">
      <c r="A13" s="7" t="s">
        <v>685</v>
      </c>
      <c r="B13" s="8" t="s">
        <v>686</v>
      </c>
      <c r="C13" s="22" t="s">
        <v>674</v>
      </c>
      <c r="D13" s="7" t="s">
        <v>695</v>
      </c>
      <c r="E13" s="25" t="s">
        <v>687</v>
      </c>
      <c r="F13" s="8" t="s">
        <v>701</v>
      </c>
    </row>
  </sheetData>
  <mergeCells count="3">
    <mergeCell ref="A6:F6"/>
    <mergeCell ref="A1:F2"/>
    <mergeCell ref="A4:F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3"/>
  <sheetViews>
    <sheetView showGridLines="0" zoomScaleNormal="100" workbookViewId="0">
      <pane ySplit="7" topLeftCell="A54" activePane="bottomLeft" state="frozen"/>
      <selection pane="bottomLeft" activeCell="M6" sqref="M6"/>
    </sheetView>
  </sheetViews>
  <sheetFormatPr baseColWidth="10" defaultColWidth="8.703125" defaultRowHeight="14.35" x14ac:dyDescent="0.5"/>
  <cols>
    <col min="1" max="1" width="7" customWidth="1"/>
    <col min="2" max="2" width="50" customWidth="1"/>
    <col min="3" max="3" width="16" customWidth="1"/>
    <col min="4" max="4" width="22" customWidth="1"/>
    <col min="5" max="5" width="28" customWidth="1"/>
    <col min="6" max="6" width="10" customWidth="1"/>
    <col min="7" max="8" width="14" customWidth="1"/>
    <col min="9" max="9" width="10" customWidth="1"/>
    <col min="10" max="10" width="12" customWidth="1"/>
  </cols>
  <sheetData>
    <row r="1" spans="1:10" ht="25.5" customHeight="1" x14ac:dyDescent="0.5">
      <c r="A1" s="76" t="s">
        <v>702</v>
      </c>
      <c r="B1" s="70"/>
      <c r="C1" s="70"/>
      <c r="D1" s="70"/>
      <c r="E1" s="70"/>
      <c r="F1" s="70"/>
      <c r="G1" s="70"/>
      <c r="H1" s="70"/>
      <c r="I1" s="70"/>
      <c r="J1" s="70"/>
    </row>
    <row r="2" spans="1:10" ht="25.5" customHeight="1" x14ac:dyDescent="0.5">
      <c r="A2" s="70"/>
      <c r="B2" s="70"/>
      <c r="C2" s="70"/>
      <c r="D2" s="70"/>
      <c r="E2" s="70"/>
      <c r="F2" s="70"/>
      <c r="G2" s="70"/>
      <c r="H2" s="70"/>
      <c r="I2" s="70"/>
      <c r="J2" s="70"/>
    </row>
    <row r="4" spans="1:10" ht="132" customHeight="1" x14ac:dyDescent="0.5">
      <c r="A4" s="78" t="s">
        <v>703</v>
      </c>
      <c r="B4" s="79"/>
      <c r="C4" s="79"/>
      <c r="D4" s="79"/>
      <c r="E4" s="79"/>
      <c r="F4" s="79"/>
      <c r="G4" s="79"/>
      <c r="H4" s="79"/>
      <c r="I4" s="79"/>
      <c r="J4" s="79"/>
    </row>
    <row r="6" spans="1:10" ht="21.75" customHeight="1" x14ac:dyDescent="0.5">
      <c r="A6" s="88" t="s">
        <v>704</v>
      </c>
      <c r="B6" s="70"/>
      <c r="C6" s="70"/>
      <c r="D6" s="70"/>
      <c r="E6" s="70"/>
      <c r="F6" s="70"/>
      <c r="G6" s="70"/>
      <c r="H6" s="70"/>
      <c r="I6" s="70"/>
      <c r="J6" s="70"/>
    </row>
    <row r="7" spans="1:10" ht="43.5" customHeight="1" x14ac:dyDescent="0.5">
      <c r="A7" s="1" t="s">
        <v>663</v>
      </c>
      <c r="B7" s="1" t="s">
        <v>705</v>
      </c>
      <c r="C7" s="1" t="s">
        <v>706</v>
      </c>
      <c r="D7" s="1" t="s">
        <v>165</v>
      </c>
      <c r="E7" s="1" t="s">
        <v>707</v>
      </c>
      <c r="F7" s="1" t="s">
        <v>708</v>
      </c>
      <c r="G7" s="1" t="s">
        <v>709</v>
      </c>
      <c r="H7" s="1" t="s">
        <v>710</v>
      </c>
      <c r="I7" s="1" t="s">
        <v>711</v>
      </c>
      <c r="J7" s="1" t="s">
        <v>712</v>
      </c>
    </row>
    <row r="8" spans="1:10" ht="24" customHeight="1" x14ac:dyDescent="0.5">
      <c r="A8" s="105" t="s">
        <v>713</v>
      </c>
      <c r="B8" s="70"/>
      <c r="C8" s="70"/>
      <c r="D8" s="70"/>
      <c r="E8" s="70"/>
      <c r="F8" s="70"/>
      <c r="G8" s="70"/>
      <c r="H8" s="70"/>
      <c r="I8" s="70"/>
      <c r="J8" s="70"/>
    </row>
    <row r="9" spans="1:10" ht="72" customHeight="1" x14ac:dyDescent="0.5">
      <c r="A9" s="3" t="s">
        <v>714</v>
      </c>
      <c r="B9" s="5" t="s">
        <v>715</v>
      </c>
      <c r="C9" s="10" t="s">
        <v>716</v>
      </c>
      <c r="D9" s="10" t="s">
        <v>717</v>
      </c>
      <c r="E9" s="5" t="s">
        <v>718</v>
      </c>
      <c r="F9" s="3" t="s">
        <v>719</v>
      </c>
      <c r="G9" s="10" t="s">
        <v>720</v>
      </c>
      <c r="H9" s="10" t="s">
        <v>721</v>
      </c>
      <c r="I9" s="3" t="s">
        <v>722</v>
      </c>
      <c r="J9" s="10" t="s">
        <v>723</v>
      </c>
    </row>
    <row r="10" spans="1:10" ht="54" customHeight="1" x14ac:dyDescent="0.5">
      <c r="A10" s="3" t="s">
        <v>724</v>
      </c>
      <c r="B10" s="5" t="s">
        <v>725</v>
      </c>
      <c r="C10" s="10" t="s">
        <v>726</v>
      </c>
      <c r="D10" s="10" t="s">
        <v>727</v>
      </c>
      <c r="E10" s="5" t="s">
        <v>728</v>
      </c>
      <c r="F10" s="3" t="s">
        <v>719</v>
      </c>
      <c r="G10" s="10" t="s">
        <v>729</v>
      </c>
      <c r="H10" s="10" t="s">
        <v>721</v>
      </c>
      <c r="I10" s="3" t="s">
        <v>722</v>
      </c>
      <c r="J10" s="10" t="s">
        <v>723</v>
      </c>
    </row>
    <row r="11" spans="1:10" ht="54" customHeight="1" x14ac:dyDescent="0.5">
      <c r="A11" s="3" t="s">
        <v>730</v>
      </c>
      <c r="B11" s="5" t="s">
        <v>731</v>
      </c>
      <c r="C11" s="10" t="s">
        <v>732</v>
      </c>
      <c r="D11" s="10" t="s">
        <v>727</v>
      </c>
      <c r="E11" s="5" t="s">
        <v>733</v>
      </c>
      <c r="F11" s="3" t="s">
        <v>719</v>
      </c>
      <c r="G11" s="10" t="s">
        <v>734</v>
      </c>
      <c r="H11" s="10" t="s">
        <v>721</v>
      </c>
      <c r="I11" s="3" t="s">
        <v>735</v>
      </c>
      <c r="J11" s="10" t="s">
        <v>723</v>
      </c>
    </row>
    <row r="12" spans="1:10" ht="54" customHeight="1" x14ac:dyDescent="0.5">
      <c r="A12" s="3" t="s">
        <v>736</v>
      </c>
      <c r="B12" s="5" t="s">
        <v>737</v>
      </c>
      <c r="C12" s="10" t="s">
        <v>738</v>
      </c>
      <c r="D12" s="10" t="s">
        <v>717</v>
      </c>
      <c r="E12" s="5" t="s">
        <v>739</v>
      </c>
      <c r="F12" s="3" t="s">
        <v>740</v>
      </c>
      <c r="G12" s="10" t="s">
        <v>741</v>
      </c>
      <c r="H12" s="10" t="s">
        <v>742</v>
      </c>
      <c r="I12" s="3" t="s">
        <v>735</v>
      </c>
      <c r="J12" s="10" t="s">
        <v>723</v>
      </c>
    </row>
    <row r="13" spans="1:10" ht="49.5" customHeight="1" x14ac:dyDescent="0.5">
      <c r="A13" s="3" t="s">
        <v>743</v>
      </c>
      <c r="B13" s="5" t="s">
        <v>744</v>
      </c>
      <c r="C13" s="10" t="s">
        <v>745</v>
      </c>
      <c r="D13" s="10" t="s">
        <v>746</v>
      </c>
      <c r="E13" s="5" t="s">
        <v>747</v>
      </c>
      <c r="F13" s="3" t="s">
        <v>740</v>
      </c>
      <c r="G13" s="10" t="s">
        <v>748</v>
      </c>
      <c r="H13" s="10" t="s">
        <v>749</v>
      </c>
      <c r="I13" s="3" t="s">
        <v>722</v>
      </c>
      <c r="J13" s="10" t="s">
        <v>723</v>
      </c>
    </row>
    <row r="14" spans="1:10" ht="54" customHeight="1" x14ac:dyDescent="0.5">
      <c r="A14" s="3" t="s">
        <v>750</v>
      </c>
      <c r="B14" s="5" t="s">
        <v>751</v>
      </c>
      <c r="C14" s="10" t="s">
        <v>752</v>
      </c>
      <c r="D14" s="10" t="s">
        <v>753</v>
      </c>
      <c r="E14" s="5" t="s">
        <v>754</v>
      </c>
      <c r="F14" s="3" t="s">
        <v>719</v>
      </c>
      <c r="G14" s="10" t="s">
        <v>755</v>
      </c>
      <c r="H14" s="10" t="s">
        <v>756</v>
      </c>
      <c r="I14" s="3" t="s">
        <v>735</v>
      </c>
      <c r="J14" s="10" t="s">
        <v>723</v>
      </c>
    </row>
    <row r="15" spans="1:10" ht="24" customHeight="1" x14ac:dyDescent="0.5">
      <c r="A15" s="107" t="s">
        <v>757</v>
      </c>
      <c r="B15" s="70"/>
      <c r="C15" s="70"/>
      <c r="D15" s="70"/>
      <c r="E15" s="70"/>
      <c r="F15" s="70"/>
      <c r="G15" s="70"/>
      <c r="H15" s="70"/>
      <c r="I15" s="70"/>
      <c r="J15" s="70"/>
    </row>
    <row r="16" spans="1:10" ht="54" customHeight="1" x14ac:dyDescent="0.5">
      <c r="A16" s="43" t="s">
        <v>758</v>
      </c>
      <c r="B16" s="44" t="s">
        <v>759</v>
      </c>
      <c r="C16" s="45" t="s">
        <v>760</v>
      </c>
      <c r="D16" s="45" t="s">
        <v>171</v>
      </c>
      <c r="E16" s="44" t="s">
        <v>761</v>
      </c>
      <c r="F16" s="43" t="s">
        <v>740</v>
      </c>
      <c r="G16" s="45" t="s">
        <v>762</v>
      </c>
      <c r="H16" s="45" t="s">
        <v>756</v>
      </c>
      <c r="I16" s="43" t="s">
        <v>722</v>
      </c>
      <c r="J16" s="45" t="s">
        <v>723</v>
      </c>
    </row>
    <row r="17" spans="1:10" ht="49.5" customHeight="1" x14ac:dyDescent="0.5">
      <c r="A17" s="43" t="s">
        <v>763</v>
      </c>
      <c r="B17" s="44" t="s">
        <v>764</v>
      </c>
      <c r="C17" s="45" t="s">
        <v>765</v>
      </c>
      <c r="D17" s="45" t="s">
        <v>171</v>
      </c>
      <c r="E17" s="44" t="s">
        <v>766</v>
      </c>
      <c r="F17" s="43" t="s">
        <v>719</v>
      </c>
      <c r="G17" s="45" t="s">
        <v>734</v>
      </c>
      <c r="H17" s="45" t="s">
        <v>721</v>
      </c>
      <c r="I17" s="43" t="s">
        <v>722</v>
      </c>
      <c r="J17" s="45" t="s">
        <v>723</v>
      </c>
    </row>
    <row r="18" spans="1:10" ht="49.5" customHeight="1" x14ac:dyDescent="0.5">
      <c r="A18" s="43" t="s">
        <v>767</v>
      </c>
      <c r="B18" s="44" t="s">
        <v>768</v>
      </c>
      <c r="C18" s="45" t="s">
        <v>716</v>
      </c>
      <c r="D18" s="45" t="s">
        <v>171</v>
      </c>
      <c r="E18" s="44" t="s">
        <v>769</v>
      </c>
      <c r="F18" s="43" t="s">
        <v>719</v>
      </c>
      <c r="G18" s="45" t="s">
        <v>734</v>
      </c>
      <c r="H18" s="45" t="s">
        <v>721</v>
      </c>
      <c r="I18" s="43" t="s">
        <v>722</v>
      </c>
      <c r="J18" s="45" t="s">
        <v>723</v>
      </c>
    </row>
    <row r="19" spans="1:10" ht="49.5" customHeight="1" x14ac:dyDescent="0.5">
      <c r="A19" s="43" t="s">
        <v>770</v>
      </c>
      <c r="B19" s="44" t="s">
        <v>771</v>
      </c>
      <c r="C19" s="45" t="s">
        <v>738</v>
      </c>
      <c r="D19" s="45" t="s">
        <v>171</v>
      </c>
      <c r="E19" s="44" t="s">
        <v>772</v>
      </c>
      <c r="F19" s="43" t="s">
        <v>719</v>
      </c>
      <c r="G19" s="45" t="s">
        <v>773</v>
      </c>
      <c r="H19" s="45" t="s">
        <v>721</v>
      </c>
      <c r="I19" s="43" t="s">
        <v>722</v>
      </c>
      <c r="J19" s="45" t="s">
        <v>723</v>
      </c>
    </row>
    <row r="20" spans="1:10" ht="49.5" customHeight="1" x14ac:dyDescent="0.5">
      <c r="A20" s="43" t="s">
        <v>774</v>
      </c>
      <c r="B20" s="44" t="s">
        <v>775</v>
      </c>
      <c r="C20" s="45" t="s">
        <v>776</v>
      </c>
      <c r="D20" s="45" t="s">
        <v>171</v>
      </c>
      <c r="E20" s="44" t="s">
        <v>777</v>
      </c>
      <c r="F20" s="43" t="s">
        <v>719</v>
      </c>
      <c r="G20" s="45" t="s">
        <v>729</v>
      </c>
      <c r="H20" s="45" t="s">
        <v>721</v>
      </c>
      <c r="I20" s="43" t="s">
        <v>722</v>
      </c>
      <c r="J20" s="45" t="s">
        <v>723</v>
      </c>
    </row>
    <row r="21" spans="1:10" ht="49.5" customHeight="1" x14ac:dyDescent="0.5">
      <c r="A21" s="43" t="s">
        <v>778</v>
      </c>
      <c r="B21" s="44" t="s">
        <v>779</v>
      </c>
      <c r="C21" s="45" t="s">
        <v>776</v>
      </c>
      <c r="D21" s="45" t="s">
        <v>171</v>
      </c>
      <c r="E21" s="44" t="s">
        <v>260</v>
      </c>
      <c r="F21" s="43" t="s">
        <v>719</v>
      </c>
      <c r="G21" s="45" t="s">
        <v>780</v>
      </c>
      <c r="H21" s="45" t="s">
        <v>721</v>
      </c>
      <c r="I21" s="43" t="s">
        <v>722</v>
      </c>
      <c r="J21" s="45" t="s">
        <v>723</v>
      </c>
    </row>
    <row r="22" spans="1:10" ht="49.5" customHeight="1" x14ac:dyDescent="0.5">
      <c r="A22" s="43" t="s">
        <v>781</v>
      </c>
      <c r="B22" s="44" t="s">
        <v>782</v>
      </c>
      <c r="C22" s="45" t="s">
        <v>675</v>
      </c>
      <c r="D22" s="45" t="s">
        <v>171</v>
      </c>
      <c r="E22" s="44" t="s">
        <v>783</v>
      </c>
      <c r="F22" s="43" t="s">
        <v>719</v>
      </c>
      <c r="G22" s="45" t="s">
        <v>720</v>
      </c>
      <c r="H22" s="45" t="s">
        <v>756</v>
      </c>
      <c r="I22" s="43" t="s">
        <v>735</v>
      </c>
      <c r="J22" s="45" t="s">
        <v>723</v>
      </c>
    </row>
    <row r="23" spans="1:10" ht="49.5" customHeight="1" x14ac:dyDescent="0.5">
      <c r="A23" s="43" t="s">
        <v>784</v>
      </c>
      <c r="B23" s="44" t="s">
        <v>785</v>
      </c>
      <c r="C23" s="45" t="s">
        <v>738</v>
      </c>
      <c r="D23" s="45" t="s">
        <v>171</v>
      </c>
      <c r="E23" s="44" t="s">
        <v>786</v>
      </c>
      <c r="F23" s="43" t="s">
        <v>719</v>
      </c>
      <c r="G23" s="45" t="s">
        <v>734</v>
      </c>
      <c r="H23" s="45" t="s">
        <v>721</v>
      </c>
      <c r="I23" s="43" t="s">
        <v>722</v>
      </c>
      <c r="J23" s="45" t="s">
        <v>723</v>
      </c>
    </row>
    <row r="24" spans="1:10" ht="54" customHeight="1" x14ac:dyDescent="0.5">
      <c r="A24" s="3" t="s">
        <v>787</v>
      </c>
      <c r="B24" s="5" t="s">
        <v>788</v>
      </c>
      <c r="C24" s="10" t="s">
        <v>789</v>
      </c>
      <c r="D24" s="10" t="s">
        <v>790</v>
      </c>
      <c r="E24" s="5" t="s">
        <v>791</v>
      </c>
      <c r="F24" s="3" t="s">
        <v>740</v>
      </c>
      <c r="G24" s="10" t="s">
        <v>755</v>
      </c>
      <c r="H24" s="10" t="s">
        <v>756</v>
      </c>
      <c r="I24" s="3" t="s">
        <v>722</v>
      </c>
      <c r="J24" s="10" t="s">
        <v>723</v>
      </c>
    </row>
    <row r="25" spans="1:10" ht="54" customHeight="1" x14ac:dyDescent="0.5">
      <c r="A25" s="3" t="s">
        <v>792</v>
      </c>
      <c r="B25" s="5" t="s">
        <v>793</v>
      </c>
      <c r="C25" s="10" t="s">
        <v>677</v>
      </c>
      <c r="D25" s="10" t="s">
        <v>171</v>
      </c>
      <c r="E25" s="5" t="s">
        <v>794</v>
      </c>
      <c r="F25" s="3" t="s">
        <v>740</v>
      </c>
      <c r="G25" s="10" t="s">
        <v>720</v>
      </c>
      <c r="H25" s="10" t="s">
        <v>795</v>
      </c>
      <c r="I25" s="3" t="s">
        <v>735</v>
      </c>
      <c r="J25" s="10" t="s">
        <v>723</v>
      </c>
    </row>
    <row r="26" spans="1:10" ht="24" customHeight="1" x14ac:dyDescent="0.5">
      <c r="A26" s="108" t="s">
        <v>796</v>
      </c>
      <c r="B26" s="70"/>
      <c r="C26" s="70"/>
      <c r="D26" s="70"/>
      <c r="E26" s="70"/>
      <c r="F26" s="70"/>
      <c r="G26" s="70"/>
      <c r="H26" s="70"/>
      <c r="I26" s="70"/>
      <c r="J26" s="70"/>
    </row>
    <row r="27" spans="1:10" ht="72" customHeight="1" x14ac:dyDescent="0.5">
      <c r="A27" s="43" t="s">
        <v>797</v>
      </c>
      <c r="B27" s="44" t="s">
        <v>798</v>
      </c>
      <c r="C27" s="45" t="s">
        <v>799</v>
      </c>
      <c r="D27" s="45" t="s">
        <v>790</v>
      </c>
      <c r="E27" s="44" t="s">
        <v>800</v>
      </c>
      <c r="F27" s="43" t="s">
        <v>740</v>
      </c>
      <c r="G27" s="45" t="s">
        <v>762</v>
      </c>
      <c r="H27" s="45" t="s">
        <v>756</v>
      </c>
      <c r="I27" s="43" t="s">
        <v>722</v>
      </c>
      <c r="J27" s="45" t="s">
        <v>723</v>
      </c>
    </row>
    <row r="28" spans="1:10" ht="49.5" customHeight="1" x14ac:dyDescent="0.5">
      <c r="A28" s="3" t="s">
        <v>801</v>
      </c>
      <c r="B28" s="5" t="s">
        <v>802</v>
      </c>
      <c r="C28" s="10" t="s">
        <v>745</v>
      </c>
      <c r="D28" s="10" t="s">
        <v>790</v>
      </c>
      <c r="E28" s="5" t="s">
        <v>803</v>
      </c>
      <c r="F28" s="3" t="s">
        <v>740</v>
      </c>
      <c r="G28" s="10" t="s">
        <v>755</v>
      </c>
      <c r="H28" s="10" t="s">
        <v>795</v>
      </c>
      <c r="I28" s="3" t="s">
        <v>735</v>
      </c>
      <c r="J28" s="10" t="s">
        <v>723</v>
      </c>
    </row>
    <row r="29" spans="1:10" ht="54" customHeight="1" x14ac:dyDescent="0.5">
      <c r="A29" s="3" t="s">
        <v>804</v>
      </c>
      <c r="B29" s="5" t="s">
        <v>805</v>
      </c>
      <c r="C29" s="10" t="s">
        <v>799</v>
      </c>
      <c r="D29" s="10" t="s">
        <v>746</v>
      </c>
      <c r="E29" s="5" t="s">
        <v>806</v>
      </c>
      <c r="F29" s="3" t="s">
        <v>807</v>
      </c>
      <c r="G29" s="10" t="s">
        <v>741</v>
      </c>
      <c r="H29" s="10" t="s">
        <v>742</v>
      </c>
      <c r="I29" s="3" t="s">
        <v>735</v>
      </c>
      <c r="J29" s="10" t="s">
        <v>723</v>
      </c>
    </row>
    <row r="30" spans="1:10" ht="49.5" customHeight="1" x14ac:dyDescent="0.5">
      <c r="A30" s="3" t="s">
        <v>808</v>
      </c>
      <c r="B30" s="5" t="s">
        <v>809</v>
      </c>
      <c r="C30" s="10" t="s">
        <v>810</v>
      </c>
      <c r="D30" s="10" t="s">
        <v>746</v>
      </c>
      <c r="E30" s="5" t="s">
        <v>811</v>
      </c>
      <c r="F30" s="3" t="s">
        <v>807</v>
      </c>
      <c r="G30" s="10" t="s">
        <v>762</v>
      </c>
      <c r="H30" s="10" t="s">
        <v>812</v>
      </c>
      <c r="I30" s="3" t="s">
        <v>813</v>
      </c>
      <c r="J30" s="10" t="s">
        <v>723</v>
      </c>
    </row>
    <row r="31" spans="1:10" ht="54" customHeight="1" x14ac:dyDescent="0.5">
      <c r="A31" s="3" t="s">
        <v>814</v>
      </c>
      <c r="B31" s="5" t="s">
        <v>815</v>
      </c>
      <c r="C31" s="10" t="s">
        <v>675</v>
      </c>
      <c r="D31" s="10" t="s">
        <v>171</v>
      </c>
      <c r="E31" s="5" t="s">
        <v>816</v>
      </c>
      <c r="F31" s="3" t="s">
        <v>807</v>
      </c>
      <c r="G31" s="10" t="s">
        <v>762</v>
      </c>
      <c r="H31" s="10" t="s">
        <v>742</v>
      </c>
      <c r="I31" s="3" t="s">
        <v>735</v>
      </c>
      <c r="J31" s="10" t="s">
        <v>723</v>
      </c>
    </row>
    <row r="32" spans="1:10" ht="24" customHeight="1" x14ac:dyDescent="0.5">
      <c r="A32" s="104" t="s">
        <v>817</v>
      </c>
      <c r="B32" s="70"/>
      <c r="C32" s="70"/>
      <c r="D32" s="70"/>
      <c r="E32" s="70"/>
      <c r="F32" s="70"/>
      <c r="G32" s="70"/>
      <c r="H32" s="70"/>
      <c r="I32" s="70"/>
      <c r="J32" s="70"/>
    </row>
    <row r="33" spans="1:10" ht="54" customHeight="1" x14ac:dyDescent="0.5">
      <c r="A33" s="43" t="s">
        <v>818</v>
      </c>
      <c r="B33" s="44" t="s">
        <v>819</v>
      </c>
      <c r="C33" s="45" t="s">
        <v>738</v>
      </c>
      <c r="D33" s="45" t="s">
        <v>171</v>
      </c>
      <c r="E33" s="44" t="s">
        <v>820</v>
      </c>
      <c r="F33" s="43" t="s">
        <v>740</v>
      </c>
      <c r="G33" s="45" t="s">
        <v>755</v>
      </c>
      <c r="H33" s="45" t="s">
        <v>756</v>
      </c>
      <c r="I33" s="43" t="s">
        <v>722</v>
      </c>
      <c r="J33" s="45" t="s">
        <v>723</v>
      </c>
    </row>
    <row r="34" spans="1:10" ht="49.5" customHeight="1" x14ac:dyDescent="0.5">
      <c r="A34" s="3" t="s">
        <v>821</v>
      </c>
      <c r="B34" s="5" t="s">
        <v>822</v>
      </c>
      <c r="C34" s="10" t="s">
        <v>738</v>
      </c>
      <c r="D34" s="10" t="s">
        <v>171</v>
      </c>
      <c r="E34" s="5" t="s">
        <v>823</v>
      </c>
      <c r="F34" s="3" t="s">
        <v>719</v>
      </c>
      <c r="G34" s="10" t="s">
        <v>824</v>
      </c>
      <c r="H34" s="10" t="s">
        <v>825</v>
      </c>
      <c r="I34" s="3" t="s">
        <v>735</v>
      </c>
      <c r="J34" s="10" t="s">
        <v>723</v>
      </c>
    </row>
    <row r="35" spans="1:10" ht="49.5" customHeight="1" x14ac:dyDescent="0.5">
      <c r="A35" s="3" t="s">
        <v>826</v>
      </c>
      <c r="B35" s="5" t="s">
        <v>827</v>
      </c>
      <c r="C35" s="10" t="s">
        <v>738</v>
      </c>
      <c r="D35" s="10" t="s">
        <v>171</v>
      </c>
      <c r="E35" s="5" t="s">
        <v>828</v>
      </c>
      <c r="F35" s="3" t="s">
        <v>719</v>
      </c>
      <c r="G35" s="10" t="s">
        <v>734</v>
      </c>
      <c r="H35" s="10" t="s">
        <v>721</v>
      </c>
      <c r="I35" s="3" t="s">
        <v>722</v>
      </c>
      <c r="J35" s="10" t="s">
        <v>723</v>
      </c>
    </row>
    <row r="36" spans="1:10" ht="54" customHeight="1" x14ac:dyDescent="0.5">
      <c r="A36" s="3" t="s">
        <v>829</v>
      </c>
      <c r="B36" s="5" t="s">
        <v>830</v>
      </c>
      <c r="C36" s="10" t="s">
        <v>675</v>
      </c>
      <c r="D36" s="10" t="s">
        <v>171</v>
      </c>
      <c r="E36" s="5" t="s">
        <v>831</v>
      </c>
      <c r="F36" s="3" t="s">
        <v>807</v>
      </c>
      <c r="G36" s="10" t="s">
        <v>741</v>
      </c>
      <c r="H36" s="10" t="s">
        <v>812</v>
      </c>
      <c r="I36" s="3" t="s">
        <v>813</v>
      </c>
      <c r="J36" s="10" t="s">
        <v>723</v>
      </c>
    </row>
    <row r="37" spans="1:10" ht="54" customHeight="1" x14ac:dyDescent="0.5">
      <c r="A37" s="3" t="s">
        <v>832</v>
      </c>
      <c r="B37" s="5" t="s">
        <v>833</v>
      </c>
      <c r="C37" s="10" t="s">
        <v>799</v>
      </c>
      <c r="D37" s="10" t="s">
        <v>746</v>
      </c>
      <c r="E37" s="5" t="s">
        <v>834</v>
      </c>
      <c r="F37" s="3" t="s">
        <v>740</v>
      </c>
      <c r="G37" s="10" t="s">
        <v>762</v>
      </c>
      <c r="H37" s="10" t="s">
        <v>795</v>
      </c>
      <c r="I37" s="3" t="s">
        <v>735</v>
      </c>
      <c r="J37" s="10" t="s">
        <v>723</v>
      </c>
    </row>
    <row r="39" spans="1:10" ht="21.75" customHeight="1" x14ac:dyDescent="0.5">
      <c r="A39" s="88" t="s">
        <v>835</v>
      </c>
      <c r="B39" s="70"/>
      <c r="C39" s="70"/>
      <c r="D39" s="70"/>
      <c r="E39" s="70"/>
      <c r="F39" s="70"/>
      <c r="G39" s="70"/>
      <c r="H39" s="70"/>
      <c r="I39" s="70"/>
      <c r="J39" s="70"/>
    </row>
    <row r="40" spans="1:10" ht="21.75" customHeight="1" x14ac:dyDescent="0.5">
      <c r="A40" s="106" t="s">
        <v>836</v>
      </c>
      <c r="B40" s="70"/>
      <c r="C40" s="70"/>
      <c r="D40" s="70"/>
      <c r="E40" s="70"/>
      <c r="F40" s="70"/>
      <c r="G40" s="70"/>
      <c r="H40" s="70"/>
      <c r="I40" s="70"/>
      <c r="J40" s="70"/>
    </row>
    <row r="41" spans="1:10" ht="21.75" customHeight="1" x14ac:dyDescent="0.5">
      <c r="A41" s="106" t="s">
        <v>837</v>
      </c>
      <c r="B41" s="70"/>
      <c r="C41" s="70"/>
      <c r="D41" s="70"/>
      <c r="E41" s="70"/>
      <c r="F41" s="70"/>
      <c r="G41" s="70"/>
      <c r="H41" s="70"/>
      <c r="I41" s="70"/>
      <c r="J41" s="70"/>
    </row>
    <row r="42" spans="1:10" ht="21.75" customHeight="1" x14ac:dyDescent="0.5">
      <c r="A42" s="106" t="s">
        <v>838</v>
      </c>
      <c r="B42" s="70"/>
      <c r="C42" s="70"/>
      <c r="D42" s="70"/>
      <c r="E42" s="70"/>
      <c r="F42" s="70"/>
      <c r="G42" s="70"/>
      <c r="H42" s="70"/>
      <c r="I42" s="70"/>
      <c r="J42" s="70"/>
    </row>
    <row r="43" spans="1:10" ht="21.75" customHeight="1" x14ac:dyDescent="0.5">
      <c r="A43" s="106" t="s">
        <v>839</v>
      </c>
      <c r="B43" s="70"/>
      <c r="C43" s="70"/>
      <c r="D43" s="70"/>
      <c r="E43" s="70"/>
      <c r="F43" s="70"/>
      <c r="G43" s="70"/>
      <c r="H43" s="70"/>
      <c r="I43" s="70"/>
      <c r="J43" s="70"/>
    </row>
  </sheetData>
  <mergeCells count="12">
    <mergeCell ref="A43:J43"/>
    <mergeCell ref="A26:J26"/>
    <mergeCell ref="A42:J42"/>
    <mergeCell ref="A41:J41"/>
    <mergeCell ref="A32:J32"/>
    <mergeCell ref="A1:J2"/>
    <mergeCell ref="A8:J8"/>
    <mergeCell ref="A6:J6"/>
    <mergeCell ref="A40:J40"/>
    <mergeCell ref="A39:J39"/>
    <mergeCell ref="A15:J15"/>
    <mergeCell ref="A4:J4"/>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72"/>
  <sheetViews>
    <sheetView showGridLines="0" zoomScaleNormal="100" workbookViewId="0">
      <pane ySplit="3" topLeftCell="A61" activePane="bottomLeft" state="frozen"/>
      <selection pane="bottomLeft" sqref="A1:F2"/>
    </sheetView>
  </sheetViews>
  <sheetFormatPr baseColWidth="10" defaultColWidth="8.703125" defaultRowHeight="14.35" x14ac:dyDescent="0.5"/>
  <cols>
    <col min="1" max="1" width="38.87890625" customWidth="1"/>
    <col min="2" max="2" width="25" customWidth="1"/>
    <col min="3" max="3" width="60" customWidth="1"/>
    <col min="4" max="6" width="12" customWidth="1"/>
  </cols>
  <sheetData>
    <row r="1" spans="1:6" ht="25.5" customHeight="1" x14ac:dyDescent="0.5">
      <c r="A1" s="76" t="s">
        <v>840</v>
      </c>
      <c r="B1" s="70"/>
      <c r="C1" s="70"/>
      <c r="D1" s="70"/>
      <c r="E1" s="70"/>
      <c r="F1" s="70"/>
    </row>
    <row r="2" spans="1:6" ht="25.5" customHeight="1" x14ac:dyDescent="0.5">
      <c r="A2" s="70"/>
      <c r="B2" s="70"/>
      <c r="C2" s="70"/>
      <c r="D2" s="70"/>
      <c r="E2" s="70"/>
      <c r="F2" s="70"/>
    </row>
    <row r="4" spans="1:6" ht="103.5" customHeight="1" x14ac:dyDescent="0.5">
      <c r="A4" s="78" t="s">
        <v>841</v>
      </c>
      <c r="B4" s="79"/>
      <c r="C4" s="79"/>
      <c r="D4" s="79"/>
      <c r="E4" s="79"/>
      <c r="F4" s="79"/>
    </row>
    <row r="8" spans="1:6" ht="27.75" customHeight="1" x14ac:dyDescent="0.5">
      <c r="A8" s="109" t="s">
        <v>842</v>
      </c>
      <c r="B8" s="70"/>
      <c r="C8" s="70"/>
      <c r="D8" s="70"/>
      <c r="E8" s="70"/>
      <c r="F8" s="70"/>
    </row>
    <row r="9" spans="1:6" ht="79.5" customHeight="1" x14ac:dyDescent="0.5">
      <c r="A9" s="46" t="s">
        <v>843</v>
      </c>
      <c r="B9" s="99" t="s">
        <v>844</v>
      </c>
      <c r="C9" s="79"/>
      <c r="D9" s="79"/>
      <c r="E9" s="79"/>
      <c r="F9" s="94"/>
    </row>
    <row r="10" spans="1:6" ht="73.5" customHeight="1" x14ac:dyDescent="0.5">
      <c r="A10" s="46" t="s">
        <v>845</v>
      </c>
      <c r="B10" s="99" t="s">
        <v>846</v>
      </c>
      <c r="C10" s="79"/>
      <c r="D10" s="79"/>
      <c r="E10" s="79"/>
      <c r="F10" s="94"/>
    </row>
    <row r="11" spans="1:6" ht="21.75" customHeight="1" x14ac:dyDescent="0.5">
      <c r="A11" s="46" t="s">
        <v>847</v>
      </c>
      <c r="B11" s="110" t="s">
        <v>269</v>
      </c>
      <c r="C11" s="79"/>
      <c r="D11" s="79"/>
      <c r="E11" s="79"/>
      <c r="F11" s="94"/>
    </row>
    <row r="12" spans="1:6" ht="39.75" customHeight="1" x14ac:dyDescent="0.5">
      <c r="A12" s="46" t="s">
        <v>848</v>
      </c>
      <c r="B12" s="99" t="s">
        <v>849</v>
      </c>
      <c r="C12" s="79"/>
      <c r="D12" s="79"/>
      <c r="E12" s="79"/>
      <c r="F12" s="94"/>
    </row>
    <row r="13" spans="1:6" ht="21.75" customHeight="1" x14ac:dyDescent="0.5">
      <c r="A13" s="46" t="s">
        <v>850</v>
      </c>
      <c r="B13" s="1" t="s">
        <v>851</v>
      </c>
      <c r="C13" s="1" t="s">
        <v>852</v>
      </c>
      <c r="D13" s="1" t="s">
        <v>853</v>
      </c>
      <c r="E13" s="93" t="s">
        <v>854</v>
      </c>
      <c r="F13" s="94"/>
    </row>
    <row r="14" spans="1:6" ht="21.75" customHeight="1" x14ac:dyDescent="0.5">
      <c r="A14" s="48"/>
      <c r="B14" s="29" t="s">
        <v>267</v>
      </c>
      <c r="C14" s="19" t="s">
        <v>240</v>
      </c>
      <c r="D14" s="19" t="s">
        <v>240</v>
      </c>
      <c r="E14" s="110" t="s">
        <v>855</v>
      </c>
      <c r="F14" s="94"/>
    </row>
    <row r="15" spans="1:6" ht="21.75" customHeight="1" x14ac:dyDescent="0.5">
      <c r="A15" s="48"/>
      <c r="B15" s="29" t="s">
        <v>601</v>
      </c>
      <c r="C15" s="19" t="s">
        <v>590</v>
      </c>
      <c r="D15" s="22" t="s">
        <v>587</v>
      </c>
      <c r="E15" s="110" t="s">
        <v>856</v>
      </c>
      <c r="F15" s="94"/>
    </row>
    <row r="16" spans="1:6" ht="21.75" customHeight="1" x14ac:dyDescent="0.5">
      <c r="A16" s="48"/>
      <c r="B16" s="29" t="s">
        <v>857</v>
      </c>
      <c r="C16" s="22" t="s">
        <v>673</v>
      </c>
      <c r="D16" s="22" t="s">
        <v>674</v>
      </c>
      <c r="E16" s="110" t="s">
        <v>858</v>
      </c>
      <c r="F16" s="94"/>
    </row>
    <row r="17" spans="1:6" ht="39.75" customHeight="1" x14ac:dyDescent="0.5">
      <c r="A17" s="46" t="s">
        <v>859</v>
      </c>
      <c r="B17" s="99" t="s">
        <v>860</v>
      </c>
      <c r="C17" s="79"/>
      <c r="D17" s="79"/>
      <c r="E17" s="79"/>
      <c r="F17" s="94"/>
    </row>
    <row r="19" spans="1:6" ht="27.75" customHeight="1" x14ac:dyDescent="0.5">
      <c r="A19" s="109" t="s">
        <v>861</v>
      </c>
      <c r="B19" s="70"/>
      <c r="C19" s="70"/>
      <c r="D19" s="70"/>
      <c r="E19" s="70"/>
      <c r="F19" s="70"/>
    </row>
    <row r="20" spans="1:6" ht="79.5" customHeight="1" x14ac:dyDescent="0.5">
      <c r="A20" s="46" t="s">
        <v>843</v>
      </c>
      <c r="B20" s="99" t="s">
        <v>862</v>
      </c>
      <c r="C20" s="79"/>
      <c r="D20" s="79"/>
      <c r="E20" s="79"/>
      <c r="F20" s="94"/>
    </row>
    <row r="21" spans="1:6" ht="96" customHeight="1" x14ac:dyDescent="0.5">
      <c r="A21" s="46" t="s">
        <v>845</v>
      </c>
      <c r="B21" s="99" t="s">
        <v>863</v>
      </c>
      <c r="C21" s="79"/>
      <c r="D21" s="79"/>
      <c r="E21" s="79"/>
      <c r="F21" s="94"/>
    </row>
    <row r="22" spans="1:6" ht="21.75" customHeight="1" x14ac:dyDescent="0.5">
      <c r="A22" s="46" t="s">
        <v>847</v>
      </c>
      <c r="B22" s="110" t="s">
        <v>387</v>
      </c>
      <c r="C22" s="79"/>
      <c r="D22" s="79"/>
      <c r="E22" s="79"/>
      <c r="F22" s="94"/>
    </row>
    <row r="23" spans="1:6" ht="39.75" customHeight="1" x14ac:dyDescent="0.5">
      <c r="A23" s="46" t="s">
        <v>848</v>
      </c>
      <c r="B23" s="99" t="s">
        <v>864</v>
      </c>
      <c r="C23" s="79"/>
      <c r="D23" s="79"/>
      <c r="E23" s="79"/>
      <c r="F23" s="94"/>
    </row>
    <row r="24" spans="1:6" ht="21.75" customHeight="1" x14ac:dyDescent="0.5">
      <c r="A24" s="46" t="s">
        <v>850</v>
      </c>
      <c r="B24" s="1" t="s">
        <v>851</v>
      </c>
      <c r="C24" s="1" t="s">
        <v>852</v>
      </c>
      <c r="D24" s="1" t="s">
        <v>853</v>
      </c>
      <c r="E24" s="93" t="s">
        <v>854</v>
      </c>
      <c r="F24" s="94"/>
    </row>
    <row r="25" spans="1:6" ht="21.75" customHeight="1" x14ac:dyDescent="0.5">
      <c r="A25" s="48"/>
      <c r="B25" s="29" t="s">
        <v>267</v>
      </c>
      <c r="C25" s="16" t="s">
        <v>233</v>
      </c>
      <c r="D25" s="19" t="s">
        <v>240</v>
      </c>
      <c r="E25" s="110" t="s">
        <v>856</v>
      </c>
      <c r="F25" s="94"/>
    </row>
    <row r="26" spans="1:6" ht="21.75" customHeight="1" x14ac:dyDescent="0.5">
      <c r="A26" s="48"/>
      <c r="B26" s="29" t="s">
        <v>601</v>
      </c>
      <c r="C26" s="16" t="s">
        <v>593</v>
      </c>
      <c r="D26" s="22" t="s">
        <v>587</v>
      </c>
      <c r="E26" s="110" t="s">
        <v>865</v>
      </c>
      <c r="F26" s="94"/>
    </row>
    <row r="27" spans="1:6" ht="21.75" customHeight="1" x14ac:dyDescent="0.5">
      <c r="A27" s="48"/>
      <c r="B27" s="29" t="s">
        <v>857</v>
      </c>
      <c r="C27" s="16" t="s">
        <v>608</v>
      </c>
      <c r="D27" s="22" t="s">
        <v>674</v>
      </c>
      <c r="E27" s="110" t="s">
        <v>866</v>
      </c>
      <c r="F27" s="94"/>
    </row>
    <row r="28" spans="1:6" ht="39.75" customHeight="1" x14ac:dyDescent="0.5">
      <c r="A28" s="46" t="s">
        <v>859</v>
      </c>
      <c r="B28" s="99" t="s">
        <v>867</v>
      </c>
      <c r="C28" s="79"/>
      <c r="D28" s="79"/>
      <c r="E28" s="79"/>
      <c r="F28" s="94"/>
    </row>
    <row r="30" spans="1:6" ht="27.75" customHeight="1" x14ac:dyDescent="0.5">
      <c r="A30" s="109" t="s">
        <v>868</v>
      </c>
      <c r="B30" s="70"/>
      <c r="C30" s="70"/>
      <c r="D30" s="70"/>
      <c r="E30" s="70"/>
      <c r="F30" s="70"/>
    </row>
    <row r="31" spans="1:6" ht="79.5" customHeight="1" x14ac:dyDescent="0.5">
      <c r="A31" s="46" t="s">
        <v>843</v>
      </c>
      <c r="B31" s="99" t="s">
        <v>869</v>
      </c>
      <c r="C31" s="79"/>
      <c r="D31" s="79"/>
      <c r="E31" s="79"/>
      <c r="F31" s="94"/>
    </row>
    <row r="32" spans="1:6" ht="96" customHeight="1" x14ac:dyDescent="0.5">
      <c r="A32" s="46" t="s">
        <v>845</v>
      </c>
      <c r="B32" s="99" t="s">
        <v>870</v>
      </c>
      <c r="C32" s="79"/>
      <c r="D32" s="79"/>
      <c r="E32" s="79"/>
      <c r="F32" s="94"/>
    </row>
    <row r="33" spans="1:6" ht="21.75" customHeight="1" x14ac:dyDescent="0.5">
      <c r="A33" s="46" t="s">
        <v>847</v>
      </c>
      <c r="B33" s="110" t="s">
        <v>287</v>
      </c>
      <c r="C33" s="79"/>
      <c r="D33" s="79"/>
      <c r="E33" s="79"/>
      <c r="F33" s="94"/>
    </row>
    <row r="34" spans="1:6" ht="39.75" customHeight="1" x14ac:dyDescent="0.5">
      <c r="A34" s="46" t="s">
        <v>848</v>
      </c>
      <c r="B34" s="99" t="s">
        <v>871</v>
      </c>
      <c r="C34" s="79"/>
      <c r="D34" s="79"/>
      <c r="E34" s="79"/>
      <c r="F34" s="94"/>
    </row>
    <row r="35" spans="1:6" ht="21.75" customHeight="1" x14ac:dyDescent="0.5">
      <c r="A35" s="46" t="s">
        <v>850</v>
      </c>
      <c r="B35" s="1" t="s">
        <v>851</v>
      </c>
      <c r="C35" s="1" t="s">
        <v>852</v>
      </c>
      <c r="D35" s="1" t="s">
        <v>853</v>
      </c>
      <c r="E35" s="93" t="s">
        <v>854</v>
      </c>
      <c r="F35" s="94"/>
    </row>
    <row r="36" spans="1:6" ht="21.75" customHeight="1" x14ac:dyDescent="0.5">
      <c r="A36" s="48"/>
      <c r="B36" s="29" t="s">
        <v>267</v>
      </c>
      <c r="C36" s="16" t="s">
        <v>233</v>
      </c>
      <c r="D36" s="16" t="s">
        <v>233</v>
      </c>
      <c r="E36" s="110" t="s">
        <v>855</v>
      </c>
      <c r="F36" s="94"/>
    </row>
    <row r="37" spans="1:6" ht="21.75" customHeight="1" x14ac:dyDescent="0.5">
      <c r="A37" s="48"/>
      <c r="B37" s="29" t="s">
        <v>601</v>
      </c>
      <c r="C37" s="19" t="s">
        <v>590</v>
      </c>
      <c r="D37" s="22" t="s">
        <v>587</v>
      </c>
      <c r="E37" s="110" t="s">
        <v>856</v>
      </c>
      <c r="F37" s="94"/>
    </row>
    <row r="38" spans="1:6" ht="21.75" customHeight="1" x14ac:dyDescent="0.5">
      <c r="A38" s="48"/>
      <c r="B38" s="29" t="s">
        <v>857</v>
      </c>
      <c r="C38" s="16" t="s">
        <v>611</v>
      </c>
      <c r="D38" s="22" t="s">
        <v>679</v>
      </c>
      <c r="E38" s="110" t="s">
        <v>872</v>
      </c>
      <c r="F38" s="94"/>
    </row>
    <row r="39" spans="1:6" ht="39.75" customHeight="1" x14ac:dyDescent="0.5">
      <c r="A39" s="46" t="s">
        <v>859</v>
      </c>
      <c r="B39" s="99" t="s">
        <v>873</v>
      </c>
      <c r="C39" s="79"/>
      <c r="D39" s="79"/>
      <c r="E39" s="79"/>
      <c r="F39" s="94"/>
    </row>
    <row r="41" spans="1:6" ht="27.75" customHeight="1" x14ac:dyDescent="0.5">
      <c r="A41" s="109" t="s">
        <v>874</v>
      </c>
      <c r="B41" s="70"/>
      <c r="C41" s="70"/>
      <c r="D41" s="70"/>
      <c r="E41" s="70"/>
      <c r="F41" s="70"/>
    </row>
    <row r="42" spans="1:6" ht="79.5" customHeight="1" x14ac:dyDescent="0.5">
      <c r="A42" s="46" t="s">
        <v>843</v>
      </c>
      <c r="B42" s="99" t="s">
        <v>875</v>
      </c>
      <c r="C42" s="79"/>
      <c r="D42" s="79"/>
      <c r="E42" s="79"/>
      <c r="F42" s="94"/>
    </row>
    <row r="43" spans="1:6" ht="73.5" customHeight="1" x14ac:dyDescent="0.5">
      <c r="A43" s="46" t="s">
        <v>845</v>
      </c>
      <c r="B43" s="99" t="s">
        <v>876</v>
      </c>
      <c r="C43" s="79"/>
      <c r="D43" s="79"/>
      <c r="E43" s="79"/>
      <c r="F43" s="94"/>
    </row>
    <row r="44" spans="1:6" ht="21.75" customHeight="1" x14ac:dyDescent="0.5">
      <c r="A44" s="46" t="s">
        <v>847</v>
      </c>
      <c r="B44" s="110" t="s">
        <v>280</v>
      </c>
      <c r="C44" s="79"/>
      <c r="D44" s="79"/>
      <c r="E44" s="79"/>
      <c r="F44" s="94"/>
    </row>
    <row r="45" spans="1:6" ht="39.75" customHeight="1" x14ac:dyDescent="0.5">
      <c r="A45" s="46" t="s">
        <v>848</v>
      </c>
      <c r="B45" s="99" t="s">
        <v>877</v>
      </c>
      <c r="C45" s="79"/>
      <c r="D45" s="79"/>
      <c r="E45" s="79"/>
      <c r="F45" s="94"/>
    </row>
    <row r="46" spans="1:6" ht="21.75" customHeight="1" x14ac:dyDescent="0.5">
      <c r="A46" s="46" t="s">
        <v>850</v>
      </c>
      <c r="B46" s="1" t="s">
        <v>851</v>
      </c>
      <c r="C46" s="1" t="s">
        <v>852</v>
      </c>
      <c r="D46" s="1" t="s">
        <v>853</v>
      </c>
      <c r="E46" s="93" t="s">
        <v>854</v>
      </c>
      <c r="F46" s="94"/>
    </row>
    <row r="47" spans="1:6" ht="21.75" customHeight="1" x14ac:dyDescent="0.5">
      <c r="A47" s="48"/>
      <c r="B47" s="29" t="s">
        <v>267</v>
      </c>
      <c r="C47" s="19" t="s">
        <v>240</v>
      </c>
      <c r="D47" s="19" t="s">
        <v>240</v>
      </c>
      <c r="E47" s="110" t="s">
        <v>855</v>
      </c>
      <c r="F47" s="94"/>
    </row>
    <row r="48" spans="1:6" ht="21.75" customHeight="1" x14ac:dyDescent="0.5">
      <c r="A48" s="48"/>
      <c r="B48" s="29" t="s">
        <v>601</v>
      </c>
      <c r="C48" s="22" t="s">
        <v>587</v>
      </c>
      <c r="D48" s="25" t="s">
        <v>584</v>
      </c>
      <c r="E48" s="110" t="s">
        <v>856</v>
      </c>
      <c r="F48" s="94"/>
    </row>
    <row r="49" spans="1:6" ht="21.75" customHeight="1" x14ac:dyDescent="0.5">
      <c r="A49" s="48"/>
      <c r="B49" s="29" t="s">
        <v>857</v>
      </c>
      <c r="C49" s="22" t="s">
        <v>674</v>
      </c>
      <c r="D49" s="25" t="s">
        <v>682</v>
      </c>
      <c r="E49" s="110" t="s">
        <v>878</v>
      </c>
      <c r="F49" s="94"/>
    </row>
    <row r="50" spans="1:6" ht="39.75" customHeight="1" x14ac:dyDescent="0.5">
      <c r="A50" s="46" t="s">
        <v>859</v>
      </c>
      <c r="B50" s="99" t="s">
        <v>879</v>
      </c>
      <c r="C50" s="79"/>
      <c r="D50" s="79"/>
      <c r="E50" s="79"/>
      <c r="F50" s="94"/>
    </row>
    <row r="52" spans="1:6" ht="27.75" customHeight="1" x14ac:dyDescent="0.5">
      <c r="A52" s="109" t="s">
        <v>880</v>
      </c>
      <c r="B52" s="70"/>
      <c r="C52" s="70"/>
      <c r="D52" s="70"/>
      <c r="E52" s="70"/>
      <c r="F52" s="70"/>
    </row>
    <row r="53" spans="1:6" ht="79.5" customHeight="1" x14ac:dyDescent="0.5">
      <c r="A53" s="46" t="s">
        <v>843</v>
      </c>
      <c r="B53" s="99" t="s">
        <v>881</v>
      </c>
      <c r="C53" s="79"/>
      <c r="D53" s="79"/>
      <c r="E53" s="79"/>
      <c r="F53" s="94"/>
    </row>
    <row r="54" spans="1:6" ht="73.5" customHeight="1" x14ac:dyDescent="0.5">
      <c r="A54" s="46" t="s">
        <v>845</v>
      </c>
      <c r="B54" s="99" t="s">
        <v>882</v>
      </c>
      <c r="C54" s="79"/>
      <c r="D54" s="79"/>
      <c r="E54" s="79"/>
      <c r="F54" s="94"/>
    </row>
    <row r="55" spans="1:6" ht="21.75" customHeight="1" x14ac:dyDescent="0.5">
      <c r="A55" s="46" t="s">
        <v>847</v>
      </c>
      <c r="B55" s="110" t="s">
        <v>291</v>
      </c>
      <c r="C55" s="79"/>
      <c r="D55" s="79"/>
      <c r="E55" s="79"/>
      <c r="F55" s="94"/>
    </row>
    <row r="56" spans="1:6" ht="39.75" customHeight="1" x14ac:dyDescent="0.5">
      <c r="A56" s="46" t="s">
        <v>848</v>
      </c>
      <c r="B56" s="99" t="s">
        <v>883</v>
      </c>
      <c r="C56" s="79"/>
      <c r="D56" s="79"/>
      <c r="E56" s="79"/>
      <c r="F56" s="94"/>
    </row>
    <row r="57" spans="1:6" ht="21.75" customHeight="1" x14ac:dyDescent="0.5">
      <c r="A57" s="46" t="s">
        <v>850</v>
      </c>
      <c r="B57" s="1" t="s">
        <v>851</v>
      </c>
      <c r="C57" s="1" t="s">
        <v>852</v>
      </c>
      <c r="D57" s="1" t="s">
        <v>853</v>
      </c>
      <c r="E57" s="93" t="s">
        <v>854</v>
      </c>
      <c r="F57" s="94"/>
    </row>
    <row r="58" spans="1:6" ht="21.75" customHeight="1" x14ac:dyDescent="0.5">
      <c r="A58" s="48"/>
      <c r="B58" s="29" t="s">
        <v>267</v>
      </c>
      <c r="C58" s="19" t="s">
        <v>240</v>
      </c>
      <c r="D58" s="19" t="s">
        <v>240</v>
      </c>
      <c r="E58" s="110" t="s">
        <v>855</v>
      </c>
      <c r="F58" s="94"/>
    </row>
    <row r="59" spans="1:6" ht="21.75" customHeight="1" x14ac:dyDescent="0.5">
      <c r="A59" s="48"/>
      <c r="B59" s="29" t="s">
        <v>601</v>
      </c>
      <c r="C59" s="22" t="s">
        <v>587</v>
      </c>
      <c r="D59" s="25" t="s">
        <v>584</v>
      </c>
      <c r="E59" s="110" t="s">
        <v>856</v>
      </c>
      <c r="F59" s="94"/>
    </row>
    <row r="60" spans="1:6" ht="21.75" customHeight="1" x14ac:dyDescent="0.5">
      <c r="A60" s="48"/>
      <c r="B60" s="29" t="s">
        <v>857</v>
      </c>
      <c r="C60" s="22" t="s">
        <v>674</v>
      </c>
      <c r="D60" s="25" t="s">
        <v>682</v>
      </c>
      <c r="E60" s="110" t="s">
        <v>878</v>
      </c>
      <c r="F60" s="94"/>
    </row>
    <row r="61" spans="1:6" ht="39.75" customHeight="1" x14ac:dyDescent="0.5">
      <c r="A61" s="46" t="s">
        <v>859</v>
      </c>
      <c r="B61" s="99" t="s">
        <v>884</v>
      </c>
      <c r="C61" s="79"/>
      <c r="D61" s="79"/>
      <c r="E61" s="79"/>
      <c r="F61" s="94"/>
    </row>
    <row r="63" spans="1:6" ht="27.75" customHeight="1" x14ac:dyDescent="0.5">
      <c r="A63" s="109" t="s">
        <v>885</v>
      </c>
      <c r="B63" s="70"/>
      <c r="C63" s="70"/>
      <c r="D63" s="70"/>
      <c r="E63" s="70"/>
      <c r="F63" s="70"/>
    </row>
    <row r="64" spans="1:6" ht="79.5" customHeight="1" x14ac:dyDescent="0.5">
      <c r="A64" s="46" t="s">
        <v>843</v>
      </c>
      <c r="B64" s="99" t="s">
        <v>886</v>
      </c>
      <c r="C64" s="79"/>
      <c r="D64" s="79"/>
      <c r="E64" s="79"/>
      <c r="F64" s="94"/>
    </row>
    <row r="65" spans="1:6" ht="73.5" customHeight="1" x14ac:dyDescent="0.5">
      <c r="A65" s="46" t="s">
        <v>845</v>
      </c>
      <c r="B65" s="99" t="s">
        <v>887</v>
      </c>
      <c r="C65" s="79"/>
      <c r="D65" s="79"/>
      <c r="E65" s="79"/>
      <c r="F65" s="94"/>
    </row>
    <row r="66" spans="1:6" ht="21.75" customHeight="1" x14ac:dyDescent="0.5">
      <c r="A66" s="46" t="s">
        <v>847</v>
      </c>
      <c r="B66" s="110" t="s">
        <v>403</v>
      </c>
      <c r="C66" s="79"/>
      <c r="D66" s="79"/>
      <c r="E66" s="79"/>
      <c r="F66" s="94"/>
    </row>
    <row r="67" spans="1:6" ht="39.75" customHeight="1" x14ac:dyDescent="0.5">
      <c r="A67" s="46" t="s">
        <v>848</v>
      </c>
      <c r="B67" s="99" t="s">
        <v>888</v>
      </c>
      <c r="C67" s="79"/>
      <c r="D67" s="79"/>
      <c r="E67" s="79"/>
      <c r="F67" s="94"/>
    </row>
    <row r="68" spans="1:6" ht="21.75" customHeight="1" x14ac:dyDescent="0.5">
      <c r="A68" s="46" t="s">
        <v>850</v>
      </c>
      <c r="B68" s="1" t="s">
        <v>851</v>
      </c>
      <c r="C68" s="1" t="s">
        <v>852</v>
      </c>
      <c r="D68" s="1" t="s">
        <v>853</v>
      </c>
      <c r="E68" s="93" t="s">
        <v>854</v>
      </c>
      <c r="F68" s="94"/>
    </row>
    <row r="69" spans="1:6" ht="21.75" customHeight="1" x14ac:dyDescent="0.5">
      <c r="A69" s="48"/>
      <c r="B69" s="29" t="s">
        <v>267</v>
      </c>
      <c r="C69" s="19" t="s">
        <v>240</v>
      </c>
      <c r="D69" s="22" t="s">
        <v>247</v>
      </c>
      <c r="E69" s="110" t="s">
        <v>856</v>
      </c>
      <c r="F69" s="94"/>
    </row>
    <row r="70" spans="1:6" ht="21.75" customHeight="1" x14ac:dyDescent="0.5">
      <c r="A70" s="48"/>
      <c r="B70" s="29" t="s">
        <v>601</v>
      </c>
      <c r="C70" s="22" t="s">
        <v>587</v>
      </c>
      <c r="D70" s="25" t="s">
        <v>584</v>
      </c>
      <c r="E70" s="110" t="s">
        <v>856</v>
      </c>
      <c r="F70" s="94"/>
    </row>
    <row r="71" spans="1:6" ht="21.75" customHeight="1" x14ac:dyDescent="0.5">
      <c r="A71" s="48"/>
      <c r="B71" s="29" t="s">
        <v>857</v>
      </c>
      <c r="C71" s="22" t="s">
        <v>674</v>
      </c>
      <c r="D71" s="25" t="s">
        <v>687</v>
      </c>
      <c r="E71" s="110" t="s">
        <v>889</v>
      </c>
      <c r="F71" s="94"/>
    </row>
    <row r="72" spans="1:6" ht="39.75" customHeight="1" x14ac:dyDescent="0.5">
      <c r="A72" s="46" t="s">
        <v>859</v>
      </c>
      <c r="B72" s="99" t="s">
        <v>890</v>
      </c>
      <c r="C72" s="79"/>
      <c r="D72" s="79"/>
      <c r="E72" s="79"/>
      <c r="F72" s="94"/>
    </row>
  </sheetData>
  <mergeCells count="62">
    <mergeCell ref="B9:F9"/>
    <mergeCell ref="E57:F57"/>
    <mergeCell ref="B65:F65"/>
    <mergeCell ref="B55:F55"/>
    <mergeCell ref="E16:F16"/>
    <mergeCell ref="B20:F20"/>
    <mergeCell ref="E25:F25"/>
    <mergeCell ref="B33:F33"/>
    <mergeCell ref="B64:F64"/>
    <mergeCell ref="E37:F37"/>
    <mergeCell ref="B45:F45"/>
    <mergeCell ref="B32:F32"/>
    <mergeCell ref="B50:F50"/>
    <mergeCell ref="E58:F58"/>
    <mergeCell ref="E47:F47"/>
    <mergeCell ref="B10:F10"/>
    <mergeCell ref="E49:F49"/>
    <mergeCell ref="E27:F27"/>
    <mergeCell ref="E36:F36"/>
    <mergeCell ref="E26:F26"/>
    <mergeCell ref="A30:F30"/>
    <mergeCell ref="A1:F2"/>
    <mergeCell ref="A8:F8"/>
    <mergeCell ref="B67:F67"/>
    <mergeCell ref="E13:F13"/>
    <mergeCell ref="E69:F69"/>
    <mergeCell ref="B23:F23"/>
    <mergeCell ref="A4:F4"/>
    <mergeCell ref="B61:F61"/>
    <mergeCell ref="E60:F60"/>
    <mergeCell ref="B17:F17"/>
    <mergeCell ref="B44:F44"/>
    <mergeCell ref="B53:F53"/>
    <mergeCell ref="E59:F59"/>
    <mergeCell ref="A52:F52"/>
    <mergeCell ref="A63:F63"/>
    <mergeCell ref="E46:F46"/>
    <mergeCell ref="B12:F12"/>
    <mergeCell ref="B39:F39"/>
    <mergeCell ref="E38:F38"/>
    <mergeCell ref="B11:F11"/>
    <mergeCell ref="B42:F42"/>
    <mergeCell ref="B34:F34"/>
    <mergeCell ref="A19:F19"/>
    <mergeCell ref="E15:F15"/>
    <mergeCell ref="B28:F28"/>
    <mergeCell ref="E14:F14"/>
    <mergeCell ref="B22:F22"/>
    <mergeCell ref="E48:F48"/>
    <mergeCell ref="B56:F56"/>
    <mergeCell ref="B21:F21"/>
    <mergeCell ref="E35:F35"/>
    <mergeCell ref="B43:F43"/>
    <mergeCell ref="A41:F41"/>
    <mergeCell ref="B54:F54"/>
    <mergeCell ref="E68:F68"/>
    <mergeCell ref="E24:F24"/>
    <mergeCell ref="B72:F72"/>
    <mergeCell ref="E71:F71"/>
    <mergeCell ref="B66:F66"/>
    <mergeCell ref="B31:F31"/>
    <mergeCell ref="E70:F70"/>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39"/>
  <sheetViews>
    <sheetView showGridLines="0" zoomScaleNormal="100" workbookViewId="0">
      <pane ySplit="3" topLeftCell="A28" activePane="bottomLeft" state="frozen"/>
      <selection pane="bottomLeft" sqref="A1:D2"/>
    </sheetView>
  </sheetViews>
  <sheetFormatPr baseColWidth="10" defaultColWidth="8.703125" defaultRowHeight="14.35" x14ac:dyDescent="0.5"/>
  <cols>
    <col min="1" max="1" width="25" customWidth="1"/>
    <col min="2" max="2" width="30" customWidth="1"/>
    <col min="3" max="3" width="18" customWidth="1"/>
    <col min="4" max="4" width="50" customWidth="1"/>
  </cols>
  <sheetData>
    <row r="1" spans="1:4" ht="25.5" customHeight="1" x14ac:dyDescent="0.5">
      <c r="A1" s="76" t="s">
        <v>891</v>
      </c>
      <c r="B1" s="70"/>
      <c r="C1" s="70"/>
      <c r="D1" s="70"/>
    </row>
    <row r="2" spans="1:4" ht="25.5" customHeight="1" x14ac:dyDescent="0.5">
      <c r="A2" s="70"/>
      <c r="B2" s="70"/>
      <c r="C2" s="70"/>
      <c r="D2" s="70"/>
    </row>
    <row r="4" spans="1:4" ht="72" customHeight="1" x14ac:dyDescent="0.5">
      <c r="A4" s="78" t="s">
        <v>892</v>
      </c>
      <c r="B4" s="79"/>
      <c r="C4" s="79"/>
      <c r="D4" s="79"/>
    </row>
    <row r="6" spans="1:4" ht="21.75" customHeight="1" x14ac:dyDescent="0.5">
      <c r="A6" s="88" t="s">
        <v>893</v>
      </c>
      <c r="B6" s="70"/>
      <c r="C6" s="70"/>
      <c r="D6" s="70"/>
    </row>
    <row r="7" spans="1:4" ht="27.75" customHeight="1" x14ac:dyDescent="0.5">
      <c r="A7" s="1" t="s">
        <v>492</v>
      </c>
      <c r="B7" s="1" t="s">
        <v>851</v>
      </c>
      <c r="C7" s="1" t="s">
        <v>894</v>
      </c>
      <c r="D7" s="1" t="s">
        <v>895</v>
      </c>
    </row>
    <row r="8" spans="1:4" ht="31.5" customHeight="1" x14ac:dyDescent="0.5">
      <c r="A8" s="49" t="s">
        <v>896</v>
      </c>
      <c r="B8" s="47" t="s">
        <v>897</v>
      </c>
      <c r="C8" s="47" t="s">
        <v>898</v>
      </c>
      <c r="D8" s="5" t="s">
        <v>899</v>
      </c>
    </row>
    <row r="9" spans="1:4" ht="31.5" customHeight="1" x14ac:dyDescent="0.5">
      <c r="A9" s="49" t="s">
        <v>896</v>
      </c>
      <c r="B9" s="50" t="s">
        <v>900</v>
      </c>
      <c r="C9" s="50" t="s">
        <v>898</v>
      </c>
      <c r="D9" s="8" t="s">
        <v>901</v>
      </c>
    </row>
    <row r="10" spans="1:4" ht="31.5" customHeight="1" x14ac:dyDescent="0.5">
      <c r="A10" s="49" t="s">
        <v>896</v>
      </c>
      <c r="B10" s="47" t="s">
        <v>902</v>
      </c>
      <c r="C10" s="47" t="s">
        <v>903</v>
      </c>
      <c r="D10" s="5" t="s">
        <v>904</v>
      </c>
    </row>
    <row r="11" spans="1:4" ht="31.5" customHeight="1" x14ac:dyDescent="0.5">
      <c r="A11" s="33" t="s">
        <v>905</v>
      </c>
      <c r="B11" s="50" t="s">
        <v>906</v>
      </c>
      <c r="C11" s="50" t="s">
        <v>898</v>
      </c>
      <c r="D11" s="8" t="s">
        <v>907</v>
      </c>
    </row>
    <row r="12" spans="1:4" ht="31.5" customHeight="1" x14ac:dyDescent="0.5">
      <c r="A12" s="33" t="s">
        <v>905</v>
      </c>
      <c r="B12" s="47" t="s">
        <v>908</v>
      </c>
      <c r="C12" s="47" t="s">
        <v>903</v>
      </c>
      <c r="D12" s="5" t="s">
        <v>909</v>
      </c>
    </row>
    <row r="13" spans="1:4" ht="31.5" customHeight="1" x14ac:dyDescent="0.5">
      <c r="A13" s="33" t="s">
        <v>905</v>
      </c>
      <c r="B13" s="50" t="s">
        <v>910</v>
      </c>
      <c r="C13" s="50" t="s">
        <v>898</v>
      </c>
      <c r="D13" s="8" t="s">
        <v>911</v>
      </c>
    </row>
    <row r="14" spans="1:4" ht="31.5" customHeight="1" x14ac:dyDescent="0.5">
      <c r="A14" s="33" t="s">
        <v>905</v>
      </c>
      <c r="B14" s="47" t="s">
        <v>912</v>
      </c>
      <c r="C14" s="47" t="s">
        <v>898</v>
      </c>
      <c r="D14" s="5" t="s">
        <v>913</v>
      </c>
    </row>
    <row r="15" spans="1:4" ht="31.5" customHeight="1" x14ac:dyDescent="0.5">
      <c r="A15" s="51" t="s">
        <v>914</v>
      </c>
      <c r="B15" s="50" t="s">
        <v>915</v>
      </c>
      <c r="C15" s="50" t="s">
        <v>898</v>
      </c>
      <c r="D15" s="8" t="s">
        <v>916</v>
      </c>
    </row>
    <row r="16" spans="1:4" ht="31.5" customHeight="1" x14ac:dyDescent="0.5">
      <c r="A16" s="51" t="s">
        <v>914</v>
      </c>
      <c r="B16" s="47" t="s">
        <v>917</v>
      </c>
      <c r="C16" s="47" t="s">
        <v>903</v>
      </c>
      <c r="D16" s="5" t="s">
        <v>918</v>
      </c>
    </row>
    <row r="17" spans="1:4" ht="31.5" customHeight="1" x14ac:dyDescent="0.5">
      <c r="A17" s="51" t="s">
        <v>914</v>
      </c>
      <c r="B17" s="50" t="s">
        <v>919</v>
      </c>
      <c r="C17" s="50" t="s">
        <v>898</v>
      </c>
      <c r="D17" s="8" t="s">
        <v>920</v>
      </c>
    </row>
    <row r="18" spans="1:4" ht="31.5" customHeight="1" x14ac:dyDescent="0.5">
      <c r="A18" s="51" t="s">
        <v>914</v>
      </c>
      <c r="B18" s="47" t="s">
        <v>921</v>
      </c>
      <c r="C18" s="47" t="s">
        <v>903</v>
      </c>
      <c r="D18" s="5" t="s">
        <v>922</v>
      </c>
    </row>
    <row r="19" spans="1:4" ht="31.5" customHeight="1" x14ac:dyDescent="0.5">
      <c r="A19" s="52" t="s">
        <v>923</v>
      </c>
      <c r="B19" s="50" t="s">
        <v>924</v>
      </c>
      <c r="C19" s="50" t="s">
        <v>925</v>
      </c>
      <c r="D19" s="8" t="s">
        <v>926</v>
      </c>
    </row>
    <row r="20" spans="1:4" ht="31.5" customHeight="1" x14ac:dyDescent="0.5">
      <c r="A20" s="52" t="s">
        <v>923</v>
      </c>
      <c r="B20" s="47" t="s">
        <v>927</v>
      </c>
      <c r="C20" s="47" t="s">
        <v>928</v>
      </c>
      <c r="D20" s="5" t="s">
        <v>929</v>
      </c>
    </row>
    <row r="21" spans="1:4" ht="31.5" customHeight="1" x14ac:dyDescent="0.5">
      <c r="A21" s="52" t="s">
        <v>923</v>
      </c>
      <c r="B21" s="50" t="s">
        <v>930</v>
      </c>
      <c r="C21" s="50" t="s">
        <v>898</v>
      </c>
      <c r="D21" s="8" t="s">
        <v>931</v>
      </c>
    </row>
    <row r="24" spans="1:4" ht="21.75" customHeight="1" x14ac:dyDescent="0.5">
      <c r="A24" s="88" t="s">
        <v>932</v>
      </c>
      <c r="B24" s="70"/>
      <c r="C24" s="70"/>
      <c r="D24" s="70"/>
    </row>
    <row r="25" spans="1:4" ht="27.75" customHeight="1" x14ac:dyDescent="0.5">
      <c r="A25" s="1" t="s">
        <v>933</v>
      </c>
      <c r="B25" s="1" t="s">
        <v>934</v>
      </c>
      <c r="C25" s="1" t="s">
        <v>894</v>
      </c>
      <c r="D25" s="1" t="s">
        <v>935</v>
      </c>
    </row>
    <row r="26" spans="1:4" ht="69.75" customHeight="1" x14ac:dyDescent="0.5">
      <c r="A26" s="29" t="s">
        <v>936</v>
      </c>
      <c r="B26" s="47" t="s">
        <v>937</v>
      </c>
      <c r="C26" s="47" t="s">
        <v>938</v>
      </c>
      <c r="D26" s="5" t="s">
        <v>939</v>
      </c>
    </row>
    <row r="27" spans="1:4" ht="69.75" customHeight="1" x14ac:dyDescent="0.5">
      <c r="A27" s="53" t="s">
        <v>940</v>
      </c>
      <c r="B27" s="50" t="s">
        <v>941</v>
      </c>
      <c r="C27" s="50" t="s">
        <v>898</v>
      </c>
      <c r="D27" s="8" t="s">
        <v>942</v>
      </c>
    </row>
    <row r="28" spans="1:4" ht="69.75" customHeight="1" x14ac:dyDescent="0.5">
      <c r="A28" s="29" t="s">
        <v>943</v>
      </c>
      <c r="B28" s="47" t="s">
        <v>944</v>
      </c>
      <c r="C28" s="47" t="s">
        <v>945</v>
      </c>
      <c r="D28" s="5" t="s">
        <v>946</v>
      </c>
    </row>
    <row r="29" spans="1:4" ht="69.75" customHeight="1" x14ac:dyDescent="0.5">
      <c r="A29" s="53" t="s">
        <v>947</v>
      </c>
      <c r="B29" s="50" t="s">
        <v>948</v>
      </c>
      <c r="C29" s="50" t="s">
        <v>949</v>
      </c>
      <c r="D29" s="8" t="s">
        <v>950</v>
      </c>
    </row>
    <row r="31" spans="1:4" ht="21.75" customHeight="1" x14ac:dyDescent="0.5">
      <c r="A31" s="88" t="s">
        <v>951</v>
      </c>
      <c r="B31" s="70"/>
      <c r="C31" s="70"/>
      <c r="D31" s="70"/>
    </row>
    <row r="32" spans="1:4" ht="27.75" customHeight="1" x14ac:dyDescent="0.5">
      <c r="A32" s="1" t="s">
        <v>492</v>
      </c>
      <c r="B32" s="1" t="s">
        <v>952</v>
      </c>
      <c r="C32" s="1" t="s">
        <v>953</v>
      </c>
      <c r="D32" s="1" t="s">
        <v>954</v>
      </c>
    </row>
    <row r="33" spans="1:4" ht="55.5" customHeight="1" x14ac:dyDescent="0.5">
      <c r="A33" s="29" t="s">
        <v>955</v>
      </c>
      <c r="B33" s="47" t="s">
        <v>956</v>
      </c>
      <c r="C33" s="47" t="s">
        <v>790</v>
      </c>
      <c r="D33" s="5" t="s">
        <v>957</v>
      </c>
    </row>
    <row r="34" spans="1:4" ht="55.5" customHeight="1" x14ac:dyDescent="0.5">
      <c r="A34" s="53" t="s">
        <v>955</v>
      </c>
      <c r="B34" s="50" t="s">
        <v>958</v>
      </c>
      <c r="C34" s="50" t="s">
        <v>959</v>
      </c>
      <c r="D34" s="8" t="s">
        <v>960</v>
      </c>
    </row>
    <row r="35" spans="1:4" ht="55.5" customHeight="1" x14ac:dyDescent="0.5">
      <c r="A35" s="29" t="s">
        <v>961</v>
      </c>
      <c r="B35" s="47" t="s">
        <v>962</v>
      </c>
      <c r="C35" s="47" t="s">
        <v>963</v>
      </c>
      <c r="D35" s="5" t="s">
        <v>964</v>
      </c>
    </row>
    <row r="36" spans="1:4" ht="55.5" customHeight="1" x14ac:dyDescent="0.5">
      <c r="A36" s="53" t="s">
        <v>965</v>
      </c>
      <c r="B36" s="50" t="s">
        <v>966</v>
      </c>
      <c r="C36" s="50" t="s">
        <v>171</v>
      </c>
      <c r="D36" s="8" t="s">
        <v>967</v>
      </c>
    </row>
    <row r="37" spans="1:4" ht="55.5" customHeight="1" x14ac:dyDescent="0.5">
      <c r="A37" s="29" t="s">
        <v>968</v>
      </c>
      <c r="B37" s="47" t="s">
        <v>969</v>
      </c>
      <c r="C37" s="47" t="s">
        <v>970</v>
      </c>
      <c r="D37" s="5" t="s">
        <v>971</v>
      </c>
    </row>
    <row r="38" spans="1:4" ht="55.5" customHeight="1" x14ac:dyDescent="0.5">
      <c r="A38" s="53" t="s">
        <v>972</v>
      </c>
      <c r="B38" s="50" t="s">
        <v>973</v>
      </c>
      <c r="C38" s="50" t="s">
        <v>746</v>
      </c>
      <c r="D38" s="8" t="s">
        <v>974</v>
      </c>
    </row>
    <row r="39" spans="1:4" ht="55.5" customHeight="1" x14ac:dyDescent="0.5">
      <c r="A39" s="29" t="s">
        <v>975</v>
      </c>
      <c r="B39" s="47" t="s">
        <v>976</v>
      </c>
      <c r="C39" s="47" t="s">
        <v>746</v>
      </c>
      <c r="D39" s="5" t="s">
        <v>977</v>
      </c>
    </row>
  </sheetData>
  <mergeCells count="5">
    <mergeCell ref="A1:D2"/>
    <mergeCell ref="A31:D31"/>
    <mergeCell ref="A6:D6"/>
    <mergeCell ref="A4:D4"/>
    <mergeCell ref="A24:D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24</vt:i4>
      </vt:variant>
    </vt:vector>
  </HeadingPairs>
  <TitlesOfParts>
    <vt:vector size="24" baseType="lpstr">
      <vt:lpstr>Introduction</vt:lpstr>
      <vt:lpstr>A1.0 Périmètre</vt:lpstr>
      <vt:lpstr>A1.1 Missions &amp; VM</vt:lpstr>
      <vt:lpstr>A1.2 Biens supports</vt:lpstr>
      <vt:lpstr>A1.3 Échelle de gravité</vt:lpstr>
      <vt:lpstr>A1.4 Événements redoutés</vt:lpstr>
      <vt:lpstr>A2.0 Échelle de pertinence</vt:lpstr>
      <vt:lpstr>A2.1 Sources de risque</vt:lpstr>
      <vt:lpstr>A2.2 Couples SR-OV</vt:lpstr>
      <vt:lpstr>A2.3 Liens couples - ER</vt:lpstr>
      <vt:lpstr>A3.0 Critères de dangerosité</vt:lpstr>
      <vt:lpstr>A3.1 Parties prenantes</vt:lpstr>
      <vt:lpstr>A3.2 Cartographie dangerosité</vt:lpstr>
      <vt:lpstr>A3.3 Scénarios stratégiques</vt:lpstr>
      <vt:lpstr>A3.4 Mesures écosystème</vt:lpstr>
      <vt:lpstr>A4.0 Échelle vraisemblance</vt:lpstr>
      <vt:lpstr>A4.1 Graphes d'attaque</vt:lpstr>
      <vt:lpstr>A4.2 Synthèse vraisemblance</vt:lpstr>
      <vt:lpstr>A5.0 Matrice et acceptation</vt:lpstr>
      <vt:lpstr>A5.1 Cartographies du risque</vt:lpstr>
      <vt:lpstr>A5.2 Stratégie de traitement</vt:lpstr>
      <vt:lpstr>A5.3 Plan de traitement</vt:lpstr>
      <vt:lpstr>A5.4 Risques résiduels</vt:lpstr>
      <vt:lpstr>A5.5 Cadre de suivi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virgile thonnier</cp:lastModifiedBy>
  <cp:revision>0</cp:revision>
  <dcterms:created xsi:type="dcterms:W3CDTF">2026-05-16T14:58:13Z</dcterms:created>
  <dcterms:modified xsi:type="dcterms:W3CDTF">2026-05-24T21:22:57Z</dcterms:modified>
  <dc:language>en-US</dc:language>
</cp:coreProperties>
</file>