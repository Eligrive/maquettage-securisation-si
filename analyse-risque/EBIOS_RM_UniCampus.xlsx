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rgi\Downloads\"/>
    </mc:Choice>
  </mc:AlternateContent>
  <xr:revisionPtr revIDLastSave="0" documentId="13_ncr:1_{7E111083-26D8-4B35-BF84-64ACB8773A07}" xr6:coauthVersionLast="47" xr6:coauthVersionMax="47" xr10:uidLastSave="{00000000-0000-0000-0000-000000000000}"/>
  <bookViews>
    <workbookView xWindow="-93" yWindow="-93" windowWidth="25786" windowHeight="13866" tabRatio="500" firstSheet="15" activeTab="18" xr2:uid="{00000000-000D-0000-FFFF-FFFF00000000}"/>
  </bookViews>
  <sheets>
    <sheet name="Introduction" sheetId="1" r:id="rId1"/>
    <sheet name="A1.0 Périmètre" sheetId="2" r:id="rId2"/>
    <sheet name="A1.1 Missions &amp; VM" sheetId="3" r:id="rId3"/>
    <sheet name="A1.2 Biens supports" sheetId="4" r:id="rId4"/>
    <sheet name="A1.3 Échelle de gravité" sheetId="5" r:id="rId5"/>
    <sheet name="A1.4 Événements redoutés" sheetId="6" r:id="rId6"/>
    <sheet name="A2.0 Échelle de pertinence" sheetId="7" r:id="rId7"/>
    <sheet name="A2.1 Sources de risque" sheetId="8" r:id="rId8"/>
    <sheet name="A2.2 Couples SR-OV" sheetId="9" r:id="rId9"/>
    <sheet name="A2.3 Liens couples - ER" sheetId="10" r:id="rId10"/>
    <sheet name="A3.0 Critères de dangerosité" sheetId="11" r:id="rId11"/>
    <sheet name="A3.1 Parties prenantes" sheetId="12" r:id="rId12"/>
    <sheet name="A3.2 Cartographie dangerosité" sheetId="13" r:id="rId13"/>
    <sheet name="A3.3 Scénarios stratégiques" sheetId="14" r:id="rId14"/>
    <sheet name="A3.4 Mesures écosystème" sheetId="15" r:id="rId15"/>
    <sheet name="A4.0 Échelle vraisemblance" sheetId="16" r:id="rId16"/>
    <sheet name="A4.1 Graphes d'attaque" sheetId="17" r:id="rId17"/>
    <sheet name="A4.2 Synthèse vraisemblance" sheetId="18" r:id="rId18"/>
    <sheet name="A5 Traitement du risque" sheetId="19" r:id="rId19"/>
  </sheets>
  <calcPr calcId="191029" iterateDelta="1E-4"/>
</workbook>
</file>

<file path=xl/calcChain.xml><?xml version="1.0" encoding="utf-8"?>
<calcChain xmlns="http://schemas.openxmlformats.org/spreadsheetml/2006/main">
  <c r="H14" i="13" l="1"/>
  <c r="E14" i="13"/>
  <c r="I14" i="13" s="1"/>
  <c r="J14" i="13" s="1"/>
  <c r="K14" i="13" s="1"/>
  <c r="H13" i="13"/>
  <c r="I13" i="13" s="1"/>
  <c r="J13" i="13" s="1"/>
  <c r="K13" i="13" s="1"/>
  <c r="E13" i="13"/>
  <c r="I12" i="13"/>
  <c r="J12" i="13" s="1"/>
  <c r="K12" i="13" s="1"/>
  <c r="H12" i="13"/>
  <c r="E12" i="13"/>
  <c r="H11" i="13"/>
  <c r="E11" i="13"/>
  <c r="I11" i="13" s="1"/>
  <c r="J11" i="13" s="1"/>
  <c r="K11" i="13" s="1"/>
  <c r="H10" i="13"/>
  <c r="E10" i="13"/>
  <c r="I10" i="13" s="1"/>
  <c r="J10" i="13" s="1"/>
  <c r="K10" i="13" s="1"/>
  <c r="H9" i="13"/>
  <c r="I9" i="13" s="1"/>
  <c r="J9" i="13" s="1"/>
  <c r="K9" i="13" s="1"/>
  <c r="E9" i="13"/>
  <c r="I8" i="13"/>
  <c r="J8" i="13" s="1"/>
  <c r="K8" i="13" s="1"/>
  <c r="H8" i="13"/>
  <c r="E8" i="13"/>
  <c r="F16" i="9"/>
  <c r="F15" i="9"/>
  <c r="F14" i="9"/>
  <c r="F13" i="9"/>
  <c r="F12" i="9"/>
  <c r="F11" i="9"/>
  <c r="F10" i="9"/>
  <c r="F9" i="9"/>
  <c r="F8" i="9"/>
</calcChain>
</file>

<file path=xl/sharedStrings.xml><?xml version="1.0" encoding="utf-8"?>
<sst xmlns="http://schemas.openxmlformats.org/spreadsheetml/2006/main" count="910" uniqueCount="616">
  <si>
    <t>A1.3 - Échelle de gravité (G1 à G4)</t>
  </si>
  <si>
    <t>Échelle calibrée pour UniCampus+ selon les axes de la slide 21 du cours : impact sur les missions/activités, sur les personnes et données, sur l'image et la gouvernance, financier, juridique. Les seuils numériques sont indicatifs et doivent être validés par la direction lors de l'analyse réelle. Cette échelle est utilisée à l'atelier 1 pour coter les événements redoutés et à l'atelier 3 pour les scénarios stratégiques.</t>
  </si>
  <si>
    <t>Échelle de gravité multi-dimensionnelle</t>
  </si>
  <si>
    <t>Niveau</t>
  </si>
  <si>
    <t>Libellé</t>
  </si>
  <si>
    <t>Missions / activité</t>
  </si>
  <si>
    <t>Personnes &amp; données</t>
  </si>
  <si>
    <t>Image &amp; gouvernance</t>
  </si>
  <si>
    <t>Finances</t>
  </si>
  <si>
    <t>Juridique</t>
  </si>
  <si>
    <t>G4</t>
  </si>
  <si>
    <t>Critique - survie menacée</t>
  </si>
  <si>
    <t>Arrêt &gt; 1 semaine d'un service vital (Moodle en période d'examens, paie) OU perte irrémédiable de données</t>
  </si>
  <si>
    <t>Fuite &gt; 1 000 personnes OU données sensibles (NIR, santé, RIB) OU atteinte à l'intégrité physique</t>
  </si>
  <si>
    <t>Décision de fermeture par la tutelle, mise sous tutelle, démission du président</t>
  </si>
  <si>
    <t>&gt; 1 M€ ou &gt; 4 % du budget annuel</t>
  </si>
  <si>
    <t>Sanction CNIL majeure, plaintes pénales massives</t>
  </si>
  <si>
    <t>G3</t>
  </si>
  <si>
    <t>Grave - mode très dégradé</t>
  </si>
  <si>
    <t>Indisponibilité 1 à 7 jours d'un service critique ; perte de données récupérables avec effort</t>
  </si>
  <si>
    <t>Fuite 100 à 1 000 personnes OU données personnelles ordinaires d'identification</t>
  </si>
  <si>
    <t>Couverture presse nationale, perte de confiance partenaires industriels ou ministère</t>
  </si>
  <si>
    <t>100 k€ – 1 M€</t>
  </si>
  <si>
    <t>Sanction CNIL significative, contentieux RH ou étudiant</t>
  </si>
  <si>
    <t>G2</t>
  </si>
  <si>
    <t>Significative - mode dégradé</t>
  </si>
  <si>
    <t>Indisponibilité &lt; 24 h, contournements possibles</t>
  </si>
  <si>
    <t>Fuite &lt; 100 personnes, données non sensibles</t>
  </si>
  <si>
    <t>Communication interne nécessaire, plaintes localisées</t>
  </si>
  <si>
    <t>10 k€ – 100 k€</t>
  </si>
  <si>
    <t>Notification CNIL simple, pas de sanction prévisible</t>
  </si>
  <si>
    <t>G1</t>
  </si>
  <si>
    <t>Mineure - pas d'impact opérationnel</t>
  </si>
  <si>
    <t>Incident résorbé sans perte de service utilisateur</t>
  </si>
  <si>
    <t>Aucune fuite ou fuite sans donnée personnelle</t>
  </si>
  <si>
    <t>Aucun impact externe</t>
  </si>
  <si>
    <t>&lt; 10 k€</t>
  </si>
  <si>
    <t>Aucun</t>
  </si>
  <si>
    <t>Référence : slide 27 du cours 4CS08 (échelle de sévérité EBIOS RM) ; les libellés G1 Mineure / G2 Significative / G3 Grave / G4 Critique sont ceux de la méthode ANSSI. Les colonnes Missions, Personnes, Image, Finances, Juridique déclinent les six axes de répercussion de la slide 21 (image et gouvernance fusionnées ici pour la lisibilité).</t>
  </si>
  <si>
    <t>Analyse de risque EBIOS RM : Classeur de travail</t>
  </si>
  <si>
    <t>Projet 07 : UniCampus+   |   Cours 4CS08  |   Méthode EBIOS Risk Manager 2018 (ANSSI)</t>
  </si>
  <si>
    <t>1. Composition du groupe</t>
  </si>
  <si>
    <t>Virgile Thonnier
Timoté Lacambra
Jeremy Giudicelli
Ghislain Maugenest</t>
  </si>
  <si>
    <t>2. Méthode utilisée pour la réalisation de l'analyse de risque : les 5 ateliers EBIOS RM</t>
  </si>
  <si>
    <t>Atelier</t>
  </si>
  <si>
    <t>Intitulé</t>
  </si>
  <si>
    <t>Objet</t>
  </si>
  <si>
    <t>Sortie(s)  principale(s)</t>
  </si>
  <si>
    <t>A1</t>
  </si>
  <si>
    <t xml:space="preserve"> Portée et référentiel de sécurité</t>
  </si>
  <si>
    <t>Définir le périmètre, les missions, les valeurs métier, les biens supports, les événements redoutés (ER) et leur gravité ; lister le socle de sécurité existant.</t>
  </si>
  <si>
    <t>Portée opérationnelle et techniques
ER et niveaux de gravité</t>
  </si>
  <si>
    <t>A2</t>
  </si>
  <si>
    <t>Sources de risque</t>
  </si>
  <si>
    <t>Identifier les couples Source de risque / Objectif visé (SR/OV) et leur pertinence.</t>
  </si>
  <si>
    <t>Couples SR/OV retenus</t>
  </si>
  <si>
    <t>A3</t>
  </si>
  <si>
    <t>Scénarios stratégiques</t>
  </si>
  <si>
    <t>Cartographier les menaces de l'écosystème (parties prenantes) et bâtir des scénarios de haut niveau.</t>
  </si>
  <si>
    <t>Scénarios stratégiques avec gravité</t>
  </si>
  <si>
    <t>A4</t>
  </si>
  <si>
    <t>Scénarios opérationnels</t>
  </si>
  <si>
    <t>Décliner techniquement chaque scénario en séquence Connaître → Rentrer → Trouver → Exploiter ; coter la vraisemblance V1–V4.</t>
  </si>
  <si>
    <t>Scénarios techniques  vraisemblance</t>
  </si>
  <si>
    <t>A5</t>
  </si>
  <si>
    <t>Traitement du risque</t>
  </si>
  <si>
    <t>Placer les risques sur la matrice gravité × vraisemblance, décider du traitement, planifier les mesures.</t>
  </si>
  <si>
    <t>Plan de traitement 
Risque résiduel</t>
  </si>
  <si>
    <t>3. Plan du classeur</t>
  </si>
  <si>
    <t>Onglet</t>
  </si>
  <si>
    <t>Contenu</t>
  </si>
  <si>
    <t>État</t>
  </si>
  <si>
    <t>Introduction</t>
  </si>
  <si>
    <t>—</t>
  </si>
  <si>
    <t>Méthodologie, conventions, plan du classeur</t>
  </si>
  <si>
    <t>Stabilisé</t>
  </si>
  <si>
    <t>A1.0 Périmètre</t>
  </si>
  <si>
    <t>Cadre de l'étude, périmètres métier et technique, participants</t>
  </si>
  <si>
    <t>Rempli</t>
  </si>
  <si>
    <t>A1.1 Missions &amp; VM</t>
  </si>
  <si>
    <t>Missions, valeurs métier (nature, description)</t>
  </si>
  <si>
    <t>A1.2 Biens supports</t>
  </si>
  <si>
    <t>Biens supports par VM, descriptions, responsables</t>
  </si>
  <si>
    <t>A1.3 Échelle de gravité</t>
  </si>
  <si>
    <t>Échelle calibrée multi-dimensionnelle (G1 à G4)</t>
  </si>
  <si>
    <t>A1.4 Événements redoutés</t>
  </si>
  <si>
    <t>ER rattachés aux VM, cotation sur l'échelle</t>
  </si>
  <si>
    <t>A2.0 Échelle de pertinence</t>
  </si>
  <si>
    <t>Matrice 4×4 Motivation × Ressources → Pertinence + définitions des niveaux</t>
  </si>
  <si>
    <t>A2.1 Sources de risque</t>
  </si>
  <si>
    <t>Typologie des 5 sources de risque retenues avec profils</t>
  </si>
  <si>
    <t>A2.2 Couples SR-OV</t>
  </si>
  <si>
    <t>Couples évalués (motivation, ressources, pertinence calculée, décision)</t>
  </si>
  <si>
    <t>A2.3 Liens couples - ER</t>
  </si>
  <si>
    <t>Synthèse rapprochant les ER de A1.4 et les couples SR/OV</t>
  </si>
  <si>
    <t>A3.0 Critères de dangerosité</t>
  </si>
  <si>
    <t>Échelles 4 niveaux pour Dépendance, Pénétration, Maturité cyber, Confiance + seuils ANSSI</t>
  </si>
  <si>
    <t>A3.1 Parties prenantes</t>
  </si>
  <si>
    <t>Typologie des 7 PP externes (4 partenaires + 3 prestataires)</t>
  </si>
  <si>
    <t>A3.2 Cartographie dangerosité</t>
  </si>
  <si>
    <t>Évaluation 4 critères, dangerosité calculée, identification des PPC, radar visuel</t>
  </si>
  <si>
    <t>A3.3 Scénarios stratégiques</t>
  </si>
  <si>
    <t>6 scénarios (un par couple Retenu de A2.2) avec chemins d'attaque numérotés</t>
  </si>
  <si>
    <t>A3.4 Mesures écosystème</t>
  </si>
  <si>
    <t>Mesures par PPC avec dangerosité initiale et résiduelle</t>
  </si>
  <si>
    <t>A4.0 Échelle vraisemblance</t>
  </si>
  <si>
    <t>Échelle V1 à V4 selon le guide ANSSI</t>
  </si>
  <si>
    <t>A4.1 Graphes d'attaque</t>
  </si>
  <si>
    <t>6 scénarios opérationnels avec graphes d'attaque détaillés (4-6 actions par phase, chemin retenu en rouge)</t>
  </si>
  <si>
    <t>A4.2 Synthèse vraisemblance</t>
  </si>
  <si>
    <t>Tableau récapitulatif (G, V) prêt pour A5</t>
  </si>
  <si>
    <t>A5 Traitement du risque</t>
  </si>
  <si>
    <t>Matrice de risque, mesures, plan de remédiation, risque résiduel</t>
  </si>
  <si>
    <t>À produire</t>
  </si>
  <si>
    <t>A1.0 - Cadre et périmètre de l'étude</t>
  </si>
  <si>
    <t>Sortie attendue de la partie cadrage de l'atelier 1 : description du périmètre métier et technique, et liste des participants (réels ou cibles) de l'analyse de risque.</t>
  </si>
  <si>
    <t>Éléments de cadrage</t>
  </si>
  <si>
    <t>Élément</t>
  </si>
  <si>
    <t>Description</t>
  </si>
  <si>
    <t>Objet d'étude</t>
  </si>
  <si>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</si>
  <si>
    <t>Périmètre métier</t>
  </si>
  <si>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</si>
  <si>
    <t>Périmètre technique</t>
  </si>
  <si>
    <t>Périmètre technique modélisé dans la maquette v1 : 
11 VMs sur un seul subnet (192.168.107.0/24) 
1 firewall périmétrique (`uc-fw-legacy`)
1 VPN d'accès distant (`uc-vpn-legacy`)
5 serveurs applicatifs (Moodle, mail, LDAP, RH, recherche)
1 base de données back-end RH (`uc-db-rh`)
3 postes clients (étudiant, enseignant, DSI)</t>
  </si>
  <si>
    <t>Participants à l'analyse (cibles en organisation réelle)</t>
  </si>
  <si>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</si>
  <si>
    <t>Cadre normatif et référentiels mobilisés</t>
  </si>
  <si>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t>
  </si>
  <si>
    <t>A1.1 - Missions et valeurs métier</t>
  </si>
  <si>
    <t>Pour chaque mission de l'objet d'étude, lister les valeurs métier (VM) qui la portent. Nature : Processus (activité) ou Information (donnée). Une VM peut être de nature mixte. Convention de codification : Mx pour les missions, VMx.y pour les valeurs métier (x = numéro de mission).</t>
  </si>
  <si>
    <t>Tableau des missions et valeurs métier</t>
  </si>
  <si>
    <t>Code mission</t>
  </si>
  <si>
    <t>Mission</t>
  </si>
  <si>
    <t>Valeur métier</t>
  </si>
  <si>
    <t>Nature</t>
  </si>
  <si>
    <t>M1</t>
  </si>
  <si>
    <t>Enseignement  
Assurer la formation des 12000 étudiants et la diffusion des savoirs académiques.</t>
  </si>
  <si>
    <t>VM1.1 : Diffusion des contenus pédagogiques</t>
  </si>
  <si>
    <t>Processus</t>
  </si>
  <si>
    <t>Activité de mise à disposition des cours, supports, devoirs, exercices, corrigés et ressources documentaires aux étudiants, organisée par UE et par promotion, avec dépôt des productions étudiantes (devoirs, examens écrits).</t>
  </si>
  <si>
    <t>VM1.2 : Évaluation et notation</t>
  </si>
  <si>
    <t>Activité de notation des productions étudiantes, calcul des moyennes, gestion des sessions d'examens et des jurys.</t>
  </si>
  <si>
    <t>VM1.3 : Résultats académiques</t>
  </si>
  <si>
    <t>Information</t>
  </si>
  <si>
    <t>Notes individuelles, moyennes, validations d'UE, attestations, diplômes : informations à très forte exigence d'intégrité et d'authenticité (opposabilité).</t>
  </si>
  <si>
    <t>VM1.4 : Communication pédagogique</t>
  </si>
  <si>
    <t>Échanges quotidiens entre enseignants, étudiants et services de scolarité via messagerie et listes de diffusion (annonces, convocations, conventions).</t>
  </si>
  <si>
    <t>VM1.5 : Accès aux ressources documentaires</t>
  </si>
  <si>
    <t>Accès des étudiants, enseignants et chercheurs à la bibliothèque numérique : bases bibliographiques, revues scientifiques, ouvrages en ligne, archives ouvertes. NON INSTRUMENTÉE DANS LA MAQUETTE V1 et déclarée pour complétude du périmètre métier — service généralement externalisé via Couperin / Cairn / EBSCO, donc dépendant d'une partie prenante externe qui sera traitée à l'atelier 3.</t>
  </si>
  <si>
    <t>M2</t>
  </si>
  <si>
    <t>Recherche 
Produire, partager et diffuser de la connaissance scientifique au sein des laboratoires, en collaboration avec des partenaires académiques et industriels.</t>
  </si>
  <si>
    <t>VM2.1 : Conduite des activités de recherche</t>
  </si>
  <si>
    <t>Activité scientifique réalisée par les enseignants-chercheurs et chercheurs : conception d'expériences, calcul scientifique (notebooks, simulations), traitement et analyse de données.</t>
  </si>
  <si>
    <t>VM2.2 : Patrimoine scientifique</t>
  </si>
  <si>
    <t>Données expérimentales brutes et traitées, codes et notebooks, articles en cours de rédaction, résultats préliminaires non publiés, antériorités brevetables. Confidentialité critique.</t>
  </si>
  <si>
    <t>VM2.3 : Collaboration et diffusion scientifique</t>
  </si>
  <si>
    <t>Échanges avec partenaires académiques (laboratoires associés) et industriels (financements, contrats de recherche), publications, dépôts de brevets, communications scientifiques.</t>
  </si>
  <si>
    <t>M3</t>
  </si>
  <si>
    <t>Administration 
Gérer les ressources humaines (paie, contrats), la scolarité administrative et les fonctions financières de l'établissement.</t>
  </si>
  <si>
    <t>VM3.1 : Gestion des ressources humaines</t>
  </si>
  <si>
    <t>Activité administrative comprenant : production de la paie mensuelle, gestion des contrats de travail, suivi des carrières, gestion des absences et congés, tenue des dossiers individuels du personnel.</t>
  </si>
  <si>
    <t>VM3.2 : Données personnelles et contractuelles</t>
  </si>
  <si>
    <t>Données personnelles (identité, NIR, RIB, adresse, situation familiale) et contractuelles (salaire, grade, ancienneté) des 500 personnels. Données soumises au RGPD avec base légale d'exécution du contrat de travail.</t>
  </si>
  <si>
    <t>VM3.3 : Gestion administrative des étudiants (scolarité)</t>
  </si>
  <si>
    <t>Inscriptions administratives, gestion des conventions de stage, des bourses, des certificats de scolarité, des transferts de dossier. NON INSTRUMENTÉE DANS LA MAQUETTE V1 et déclarée pour complétude du périmètre métier.</t>
  </si>
  <si>
    <t>VM3.4 : Gestion financière et comptable</t>
  </si>
  <si>
    <t>Comptabilité générale, traitement des dépenses et recettes, gestion des marchés publics, relations avec l'agent comptable. NON INSTRUMENTÉE DANS LA MAQUETTE V1  et déclarée pour complétude du périmètre métier.</t>
  </si>
  <si>
    <t>A1.2 - Biens supports</t>
  </si>
  <si>
    <t>Pour chaque valeur métier, identifier les biens supports (systèmes, applications, réseaux, postes, locaux, contrats…) qui la portent. Un même bien support peut servir plusieurs VM (« transverse »). Le responsable est l'entité ou la personne (interne ou externe) en charge de l'exploitation du bien.</t>
  </si>
  <si>
    <t>Tableau des biens supports</t>
  </si>
  <si>
    <t>Code BS</t>
  </si>
  <si>
    <t>Dénomination</t>
  </si>
  <si>
    <t>VM associée(s)</t>
  </si>
  <si>
    <t>Responsable</t>
  </si>
  <si>
    <t>Interne / Externe</t>
  </si>
  <si>
    <t>BS01</t>
  </si>
  <si>
    <t>Plateforme Moodle (`uc-srv-moodle`)</t>
  </si>
  <si>
    <t>Serveur applicatif Apache + PHP avec base MariaDB locale (instance liée à 127.0.0.1), hébergeant les espaces de cours, le dépôt de devoirs, les modules d'évaluation. Exposé en façade Internet via HTTP.</t>
  </si>
  <si>
    <t>VM1.1, VM1.2</t>
  </si>
  <si>
    <t>DSI</t>
  </si>
  <si>
    <t>Interne</t>
  </si>
  <si>
    <t>BS02</t>
  </si>
  <si>
    <t>Base de données Moodle (intégrée à `uc-srv-moodle`)</t>
  </si>
  <si>
    <t>Instance `mariadb-server` locale stockant les comptes utilisateurs (table `mdl_user`, hash bcrypt) et les notes (tables `mdl_grade_*`). Bind sur la boucle locale uniquement.</t>
  </si>
  <si>
    <t>VM1.3</t>
  </si>
  <si>
    <t>BS03</t>
  </si>
  <si>
    <t>Serveur de messagerie (`uc-srv-mail`)</t>
  </si>
  <si>
    <t>Postfix (SMTP/25), Dovecot (IMAP/143, POP3/110), comptes Unix locaux + Dovecot, hash crypt. Exposé en façade Internet pour SMTP et IMAP.</t>
  </si>
  <si>
    <t>VM1.4, VM2.3, VM3.1 (transverse)</t>
  </si>
  <si>
    <t>BS04</t>
  </si>
  <si>
    <t>Annuaire d'identité LDAP (`uc-srv-ldap`)</t>
  </si>
  <si>
    <t>OpenLDAP (slapd), suffix `dc=unicampus,dc=local`, OUs `people` et `groups`. Référentiel des comptes étudiants, enseignants, chercheurs, administratifs et DSI. Bind anonyme autorisé, TLS non configuré.</t>
  </si>
  <si>
    <t>Transverse (M1, M2, M3)</t>
  </si>
  <si>
    <t>BS05</t>
  </si>
  <si>
    <t>Serveur de calcul et stockage de recherche (`uc-calc-recherche`)</t>
  </si>
  <si>
    <t>Cumule : NFS (port 2049 + rpcbind 111) et Samba (445, 139) pour le partage de fichiers scientifiques, Jupyter (8888) pour les notebooks, PostgreSQL local (127.0.0.1:5432) pour les bases scientifiques.</t>
  </si>
  <si>
    <t>VM2.1, VM2.2</t>
  </si>
  <si>
    <t>DSI + Laboratoires (consommateurs)</t>
  </si>
  <si>
    <t>BS06</t>
  </si>
  <si>
    <t>Application web RH (`uc-web-rh`)</t>
  </si>
  <si>
    <t>Application Apache + PHP exposant l'interface de gestion RH, communiquant avec `uc-db-rh` sur le port 3306. Pas d'exposition Internet directe : accessible uniquement depuis le réseau interne.</t>
  </si>
  <si>
    <t>VM3.1</t>
  </si>
  <si>
    <t>BS07</t>
  </si>
  <si>
    <t>Base de données RH (`uc-db-rh`)</t>
  </si>
  <si>
    <t>Instance MariaDB stockant les comptes (hash SHA1, sans politique de mot de passe) et les données RH des 500 personnels. Écoute sur toutes les interfaces (`0.0.0.0:3306`).</t>
  </si>
  <si>
    <t>VM3.2</t>
  </si>
  <si>
    <t>BS08</t>
  </si>
  <si>
    <t>Poste étudiant (`uc-poste-etu`)</t>
  </si>
  <si>
    <t>Poste de salle informatique (Kali Linux dans la maquette pour démonstration). Connecté en DHCP sur le réseau campus.</t>
  </si>
  <si>
    <t>VM1.1, VM1.4</t>
  </si>
  <si>
    <t>DSI + utilisateur étudiant</t>
  </si>
  <si>
    <t>BS09</t>
  </si>
  <si>
    <t>Poste enseignant et enseignant-chercheur (`uc-poste-prof`)</t>
  </si>
  <si>
    <t>Poste de travail Ubuntu Desktop 22.04. Cumule les rôles enseignant et enseignant-chercheur (mêmes credentials Moodle et recherche)</t>
  </si>
  <si>
    <t>VM1.1, VM1.2, VM2.1, VM2.2, VM1.4</t>
  </si>
  <si>
    <t>DSI + utilisateur enseignant</t>
  </si>
  <si>
    <t>BS10</t>
  </si>
  <si>
    <t>Poste administratif et DSI (`uc-poste-dsi`)</t>
  </si>
  <si>
    <t>Poste de travail Ubuntu Desktop 22.04 cumulant les rôles administration et DSI. Stocke en clair la clé SSH privée d'administration (`/home/ubuntu/.ssh/`). Fusion explicite de `uc-poste-admin` et du poste DSI dans la maquette v1.</t>
  </si>
  <si>
    <t>VM3.1 + administration transverse</t>
  </si>
  <si>
    <t>DSI + services administratifs</t>
  </si>
  <si>
    <t>BS11</t>
  </si>
  <si>
    <t>Passerelle périmétrique (`uc-fw-legacy`)</t>
  </si>
  <si>
    <t>Pare-feu historique Debian 10 avec iptables et `net.ipv4.ip_forward=1`. Politique INPUT/FORWARD/OUTPUT en ACCEPT, tables vidées, règle résiduelle d'écoute 8080/TCP. Floating IP exposant SSH d'administration.</t>
  </si>
  <si>
    <t>BS12</t>
  </si>
  <si>
    <t>Accès distant VPN (`uc-vpn-legacy`)</t>
  </si>
  <si>
    <t>Serveur VPN Ubuntu 22.04 / `pptpd` (port 1723/TCP + GRE proto 47). Authentification CHAP via `/etc/ppp/chap-secrets`, compte partagé `campus` / `unicampus2024`, chiffrement MPPE-128 (RC4 déprécié), aucun MFA.</t>
  </si>
  <si>
    <t>VM2.1, VM2.3 (recherche) ; potentiellement transverse pour le télétravail</t>
  </si>
  <si>
    <t>BS13</t>
  </si>
  <si>
    <t>Réseau campus (`uc-net-campus`)</t>
  </si>
  <si>
    <t>Unique sous-réseau interne : 192.168.107.0/24, gateway 192.168.107.1, DHCP 192.168.107.100–200. Aucun cloisonnement (étudiants, enseignants, serveurs, recherche partagent le même VLAN).</t>
  </si>
  <si>
    <t>A1.4 - Événements redoutés et niveau de gravité</t>
  </si>
  <si>
    <t>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</si>
  <si>
    <t>Liste des événements redoutés</t>
  </si>
  <si>
    <t>Code ER</t>
  </si>
  <si>
    <t>Événement redouté</t>
  </si>
  <si>
    <t>Catégories d'impact</t>
  </si>
  <si>
    <t>Gravité</t>
  </si>
  <si>
    <t>M1 - VM1.2 / VM1.3
Évaluation et résultats académiques</t>
  </si>
  <si>
    <t>ER03</t>
  </si>
  <si>
    <t>Altération frauduleuse des notes, moyennes ou diplômes</t>
  </si>
  <si>
    <t>• Impacts sur les missions et services de l'organisme
• Impacts sur l'image et la confiance
• Impacts juridiques (contestation des diplômes, contentieux étudiants)</t>
  </si>
  <si>
    <t>M1 - VM1.1 / VM1.4
Services pédagogiques numériques (plateforme et messagerie)</t>
  </si>
  <si>
    <t>ER04</t>
  </si>
  <si>
    <t>Interruption de l'accès aux services pédagogiques pendant plus de 24 h, notamment en période d'examens</t>
  </si>
  <si>
    <t>• Impacts sur les missions et services de l'organisme
• Impacts sur l'image et la confiance</t>
  </si>
  <si>
    <t>ER08</t>
  </si>
  <si>
    <t>Détournement de la messagerie institutionnelle pour des campagnes externes malveillantes (phishing, spam)</t>
  </si>
  <si>
    <t>• Impacts sur l'image et la confiance</t>
  </si>
  <si>
    <t>M2 - VM2.2
Patrimoine scientifique</t>
  </si>
  <si>
    <t>ER02</t>
  </si>
  <si>
    <t>Fuite des données et résultats de recherche de l'établissement</t>
  </si>
  <si>
    <t>• Impacts sur le patrimoine intellectuel
• Impacts financiers (brevets compromis, contrats partenaires rompus)
• Impacts sur l'image et la confiance (partenaires académiques et industriels)</t>
  </si>
  <si>
    <t>ER09</t>
  </si>
  <si>
    <t>Perte ou destruction définitive des données et résultats de recherche</t>
  </si>
  <si>
    <t>• Impacts sur les missions et services de l'organisme
• Impacts sur le patrimoine intellectuel
• Impacts financiers (engagements ANR / européens compromis)</t>
  </si>
  <si>
    <t>M3 - VM3.2
Données personnelles et contractuelles</t>
  </si>
  <si>
    <t>ER01</t>
  </si>
  <si>
    <t>Fuite massive des données personnelles des étudiants et personnels (identité, NIR, RIB, dossiers, notes)</t>
  </si>
  <si>
    <t>• Impacts sur les personnes (atteinte à la vie privée)
• Impacts juridiques (sanction RGPD / CNIL, notification 72 h)
• Impacts sur l'image et la confiance
• Impacts financiers (sanction administrative, indemnisations)</t>
  </si>
  <si>
    <t>M3 - VM3.1
Gestion des ressources humaines</t>
  </si>
  <si>
    <t>ER05</t>
  </si>
  <si>
    <t>Altération frauduleuse de la paie et des données de gestion RH</t>
  </si>
  <si>
    <t>• Impacts sur les missions et services de l'organisme
• Impacts financiers (paie détournée ou erronée)
• Impacts juridiques (contentieux RH)
• Impacts sur les personnes (retard ou perte de rémunération)</t>
  </si>
  <si>
    <t>Transverse
Valeurs métier de M1, M2 et M3</t>
  </si>
  <si>
    <t>ER06</t>
  </si>
  <si>
    <t>Interruption massive et simultanée de l'ensemble des services numériques de l'établissement</t>
  </si>
  <si>
    <t>• Impacts sur les missions et services de l'organisme
• Impacts financiers (coût de remédiation, perte d'exploitation)
• Impacts sur l'image et la confiance
• Impacts juridiques (selon les données affectées)</t>
  </si>
  <si>
    <t>ER07</t>
  </si>
  <si>
    <t>Usurpation d'identité d'un personnel ou enseignant (événement pivot vers d'autres ER)</t>
  </si>
  <si>
    <t>Note : la gravité de ER04 est calibrée à G3 hors période d'examens et G4 pendant une session d'examens (basculement d'axe « Missions / activité » par franchissement du seuil G4 « arrêt d'un service vital »).</t>
  </si>
  <si>
    <t>A2.0 - Échelle de pertinence des couples SR/OV</t>
  </si>
  <si>
    <t>Matrice de référence issue de la slide 31 du cours, permettant de déduire la pertinence d'un couple Source de risque / Objectif visé à partir de deux paramètres : la motivation de la source à atteindre son objectif et les ressources dont elle dispose. La pertinence prend l'une des quatre valeurs Peu pertinent / Moyennement pertinent / Plutôt pertinent / Très pertinent. Cette matrice est utilisée par formule dans la feuille A2.2 Couples SR/OV pour garantir la cohérence des évaluations.</t>
  </si>
  <si>
    <t>Matrice Motivation × Ressources → Pertinence</t>
  </si>
  <si>
    <t>RESSOURCES (ressources financières, compétences cyber, outillage, temps)</t>
  </si>
  <si>
    <t>MOTIVATION</t>
  </si>
  <si>
    <t>Ressources limitées</t>
  </si>
  <si>
    <t>Ressources significatives</t>
  </si>
  <si>
    <t>Ressources importantes</t>
  </si>
  <si>
    <t>Ressources illimitées</t>
  </si>
  <si>
    <t>Fortement motivé</t>
  </si>
  <si>
    <t>Moyennement pertinent</t>
  </si>
  <si>
    <t>Plutôt pertinent</t>
  </si>
  <si>
    <t>Très pertinent</t>
  </si>
  <si>
    <t>Assez motivé</t>
  </si>
  <si>
    <t>Peu motivé</t>
  </si>
  <si>
    <t>Peu pertinent</t>
  </si>
  <si>
    <t>Très peu motivé</t>
  </si>
  <si>
    <t>Définition des niveaux de motivation</t>
  </si>
  <si>
    <t>Définition</t>
  </si>
  <si>
    <t>Enjeu personnel direct, gain financier élevé, idéologie forte, intérêt stratégique majeur. La source poursuivra son objectif coûte que coûte.</t>
  </si>
  <si>
    <t>Enjeu réel mais non vital. La source poursuivra son objectif si l'opportunité s'offre, mais pas à tout prix.</t>
  </si>
  <si>
    <t>Intérêt opportuniste, défi ponctuel, curiosité. La source attaque si l'attaque est facile, sinon abandonne.</t>
  </si>
  <si>
    <t>Pas d'intérêt direct envers l'objet d'étude. L'organisation pourrait être affectée comme dommage collatéral d'une attaque non ciblée.</t>
  </si>
  <si>
    <t>Définition des niveaux de ressources</t>
  </si>
  <si>
    <t>Outillage standard (Kali, scripts publics), compétences faibles à moyennes, temps disponible limité, pas de ressources financières dédiées à l'attaque.</t>
  </si>
  <si>
    <t>Outillage avancé, compétences intermédiaires à fortes, temps disponible important. Profil typique : groupe organisé sans soutien étatique, insider qualifié, hacktiviste structuré.</t>
  </si>
  <si>
    <t>Infrastructure d'attaque dédiée (C2, kits sur-mesure), compétences fortes, ressources financières conséquentes. Profil typique : groupe cybercriminel organisé (RaaS).</t>
  </si>
  <si>
    <t>Capacités étatiques type APT : 0-days, ressources humaines et financières quasi sans limite, opérations longue durée, supply-chain attacks possibles.</t>
  </si>
  <si>
    <t>Définition des niveaux de pertinence et décision associée</t>
  </si>
  <si>
    <t>Pertinence</t>
  </si>
  <si>
    <t>Signification</t>
  </si>
  <si>
    <t>Décision suggérée</t>
  </si>
  <si>
    <t>Couple théoriquement possible mais peu susceptible de se concrétiser : motivation faible et/ou ressources insuffisantes.</t>
  </si>
  <si>
    <t>Écarté</t>
  </si>
  <si>
    <t>Couple plausible mais non prioritaire. Mérite d'être surveillé pour détecter une évolution.</t>
  </si>
  <si>
    <t>Surveillance</t>
  </si>
  <si>
    <t>Couple probable à intégrer dans l'analyse des scénarios stratégiques (atelier 3).</t>
  </si>
  <si>
    <t>Retenu</t>
  </si>
  <si>
    <t>Couple hautement probable à intégrer prioritairement dans les scénarios stratégiques.</t>
  </si>
  <si>
    <t>A2.1 - Sources de risque</t>
  </si>
  <si>
    <t>Liste des sources de risque (SR) candidates identifiées au regard du contexte d'UniCampus+. Chaque source est caractérisée par son profil (interne / externe), sa description sociologique et ses capacités typiques en termes de motivation et de ressources. Les couples SR/OV concrets sont construits en A2.2 à partir de cette typologie. Les erreurs humaines et négligences non malveillantes ne sont pas traitées comme sources de risque ici (cf. doctrine EBIOS RM) — elles seront prises en compte au titre des vulnérabilités à l'atelier 4.</t>
  </si>
  <si>
    <t>Typologie des sources de risque retenues pour UniCampus+</t>
  </si>
  <si>
    <t>Code SR</t>
  </si>
  <si>
    <t>Profil</t>
  </si>
  <si>
    <t>Description et profil sociologique</t>
  </si>
  <si>
    <t>Capacités typiques</t>
  </si>
  <si>
    <t>SR-A</t>
  </si>
  <si>
    <t>Étudiant malveillant</t>
  </si>
  <si>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</si>
  <si>
    <t>Motivation variable selon l'OV ; ressources globalement significatives (compétences disponibles, temps illimité, accès interne).</t>
  </si>
  <si>
    <t>SR-B</t>
  </si>
  <si>
    <t>Cybercriminel organisé</t>
  </si>
  <si>
    <t>Externe</t>
  </si>
  <si>
    <t>Groupe cybercriminel à objectif financier (ransomware-as-a-service, revente de données). Cible opportuniste : UniCampus+ représente une cible attractive (budget public, données nombreuses, sécurité historiquement faible dans l'ESR français).</t>
  </si>
  <si>
    <t>Motivation forte (gain financier) ; ressources importantes (kits ransomware matures, infrastructure C2).</t>
  </si>
  <si>
    <t>SR-C</t>
  </si>
  <si>
    <t>Acteur étatique / concurrent (APT)</t>
  </si>
  <si>
    <t>Service de renseignement étranger ou concurrent industriel ciblant le patrimoine scientifique d'UniCampus+. Pertinence dépendant du caractère stratégique des recherches conduites (dual-use, IA, biotech, cryptographie…).</t>
  </si>
  <si>
    <t>Motivation modérée à forte selon les domaines de recherche ; ressources illimitées (APT, supply-chain, 0-days).</t>
  </si>
  <si>
    <t>SR-D</t>
  </si>
  <si>
    <t>Hacktiviste</t>
  </si>
  <si>
    <t>Individu ou collectif motivé par une cause idéologique (transparence, justice sociale, animaux de laboratoire, partenariats industriels controversés). Capable d'attaques médiatisées (défacement, fuites volontaires).</t>
  </si>
  <si>
    <t>Motivation variable selon les causes pertinentes vis-à-vis d'UniCampus+ ; ressources significatives (compétences réelles, outillage public et privé).</t>
  </si>
  <si>
    <t>SR-E</t>
  </si>
  <si>
    <t>Personnel mécontent ou ex-personnel</t>
  </si>
  <si>
    <t>Interne ou ex-interne</t>
  </si>
  <si>
    <t>Membre ou ancien membre du personnel administratif, enseignant ou DSI, agissant par vengeance, fraude personnelle ou en réaction à un licenciement, une sanction ou un conflit. Bénéficie d'un accès légitime ou résiduel (compte non révoqué) et d'une connaissance fine du SI.</t>
  </si>
  <si>
    <t>Motivation modérée à forte selon le contexte (fraude RH, vengeance) ; ressources significatives (accès interne, connaissance du SI).</t>
  </si>
  <si>
    <t>A2.2 - Couples Source de risque / Objectif visé</t>
  </si>
  <si>
    <t>Tableau des couples SR/OV évalués pour UniCampus+. Pour chaque couple, la pertinence est calculée par formule INDEX/MATCH depuis la matrice définie en A2.0 — pour modifier l'évaluation, changer Motivation et/ou Ressources via les listes déroulantes et la pertinence se met à jour automatiquement. La décision (Retenu / Surveillance / Écarté) suit en principe la pertinence (Plutôt et Très pertinent → Retenu ; Moyennement → Surveillance ; Peu → Écarté) mais peut être ajustée à dire d'expert. La colonne ER ciblé(s) fait le lien avec A1.4 et prépare A2.3.</t>
  </si>
  <si>
    <t>Liste des couples SR/OV évalués</t>
  </si>
  <si>
    <t>Code couple</t>
  </si>
  <si>
    <t>Source de risque</t>
  </si>
  <si>
    <t>Objectif visé</t>
  </si>
  <si>
    <t>Motivation</t>
  </si>
  <si>
    <t>Ressources</t>
  </si>
  <si>
    <t>Pertinence (calculée)</t>
  </si>
  <si>
    <t>Décision</t>
  </si>
  <si>
    <t>ER ciblé(s)</t>
  </si>
  <si>
    <t>C01</t>
  </si>
  <si>
    <t>SR-A Étudiant malveillant</t>
  </si>
  <si>
    <t>Compromettre les résultats académiques (modifier notes, voler sujets d'examen)</t>
  </si>
  <si>
    <t>C02</t>
  </si>
  <si>
    <t>Sabotage opportuniste (défi, curiosité, perturbation d'une session d'examens)</t>
  </si>
  <si>
    <t>ER04, ER08</t>
  </si>
  <si>
    <t>C03</t>
  </si>
  <si>
    <t>SR-B Cybercriminel organisé</t>
  </si>
  <si>
    <t>Extorquer une rançon par chiffrement de l'infrastructure</t>
  </si>
  <si>
    <t>ER06, ER04</t>
  </si>
  <si>
    <t>C04</t>
  </si>
  <si>
    <t>Revendre les données personnelles des étudiants et personnels sur le marché noir</t>
  </si>
  <si>
    <t>C05</t>
  </si>
  <si>
    <t>SR-C Acteur étatique / concurrent</t>
  </si>
  <si>
    <t>Exfiltrer le patrimoine scientifique stratégique des laboratoires</t>
  </si>
  <si>
    <t>C06</t>
  </si>
  <si>
    <t>SR-D Hacktiviste</t>
  </si>
  <si>
    <t>Publier des données personnelles pour discréditer l'institution</t>
  </si>
  <si>
    <t>C07</t>
  </si>
  <si>
    <t>Défacer la plateforme Moodle ou saboter l'image institutionnelle</t>
  </si>
  <si>
    <t>C08</t>
  </si>
  <si>
    <t>SR-E Personnel mécontent ou ex-personnel</t>
  </si>
  <si>
    <t>Détourner la paie ou frauder le système de gestion RH</t>
  </si>
  <si>
    <t>C09</t>
  </si>
  <si>
    <t>Détruire ou altérer des données par vengeance</t>
  </si>
  <si>
    <t>ER05, ER09</t>
  </si>
  <si>
    <t>A2.3 - Liens entre les couples SR/OV et les événements redoutés</t>
  </si>
  <si>
    <t>Synthèse rapprochant les événements redoutés de A1.4 et les couples SR/OV de A2.2 — équivalent du visuel de la slide 32 du cours. Pour chaque ER, on liste les couples qui le portent avec leur pertinence et leur décision. Cette synthèse alimente directement l'atelier 3 : seuls les couples Retenus sont déclinés en scénarios stratégiques. ER07 (usurpation d'identité) n'est associé à aucun couple en propre car il s'agit d'un événement pivot, étape intermédiaire dans la majorité des couples opérants (notamment C01, C03, C05, C08).</t>
  </si>
  <si>
    <t>Couples SR/OV portant chaque événement redouté (triés par gravité descendante)</t>
  </si>
  <si>
    <t>Couple SR/OV</t>
  </si>
  <si>
    <t>Fuite massive des données personnelles des étudiants et personnels</t>
  </si>
  <si>
    <t>SR-B Cybercriminel × Revente de données personnelles</t>
  </si>
  <si>
    <t>SR-D Hacktiviste × Publication de données pour discrédit</t>
  </si>
  <si>
    <t>Interruption massive et simultanée de l'ensemble des services numériques</t>
  </si>
  <si>
    <t>SR-B Cybercriminel × Extorsion par rançongiciel</t>
  </si>
  <si>
    <t>Fuite des données et résultats de recherche</t>
  </si>
  <si>
    <t>SR-C Acteur étatique × Exfiltration du patrimoine scientifique</t>
  </si>
  <si>
    <t>SR-A Étudiant × Compromission des résultats académiques</t>
  </si>
  <si>
    <t>Interruption de l'accès aux services pédagogiques &gt; 24 h (notamment examens)</t>
  </si>
  <si>
    <t>SR-B Cybercriminel × Extorsion par rançongiciel (effet de bord)</t>
  </si>
  <si>
    <t>SR-A Étudiant × Sabotage opportuniste</t>
  </si>
  <si>
    <t>SR-D Hacktiviste × Défacement / sabotage image</t>
  </si>
  <si>
    <t>Altération frauduleuse de la paie et des données RH</t>
  </si>
  <si>
    <t>SR-E Personnel mécontent × Détournement de la paie</t>
  </si>
  <si>
    <t>SR-E Personnel mécontent × Vengeance par destruction (volet RH)</t>
  </si>
  <si>
    <t>Usurpation d'identité d'un personnel ou enseignant (événement pivot)</t>
  </si>
  <si>
    <t>Pivot : étape intermédiaire dans la majorité des couples opérants (notamment C01, C03, C05, C08)</t>
  </si>
  <si>
    <t>n/a</t>
  </si>
  <si>
    <t>Perte ou destruction définitive des données de recherche</t>
  </si>
  <si>
    <t>SR-E Personnel mécontent × Vengeance par destruction</t>
  </si>
  <si>
    <t>Détournement de la messagerie pour campagnes externes malveillantes</t>
  </si>
  <si>
    <t>SR-A Étudiant × Sabotage opportuniste (volet mail)</t>
  </si>
  <si>
    <t>SR-D Hacktiviste × Défacement / sabotage image (volet mail)</t>
  </si>
  <si>
    <t>A3.0 - Critères d'évaluation de la dangerosité des parties prenantes</t>
  </si>
  <si>
    <t>Échelles d'évaluation issues du guide ANSSI EBIOS RM (p.45-47) et de la slide 36 du cours 4CS08. Chaque partie prenante est notée de 1 à 4 sur quatre critères regroupés en deux blocs : l'EXPOSITION (Dépendance × Pénétration) et la FIABILITÉ CYBER (Maturité cyber × Confiance). Le niveau de dangerosité est calculé par la formule : Dangerosité = (Dépendance × Pénétration) / (Maturité × Confiance).</t>
  </si>
  <si>
    <t>Échelles d'évaluation (4 niveaux par critère)</t>
  </si>
  <si>
    <t>EXPOSITION (taille de la bulle sur le radar)</t>
  </si>
  <si>
    <t>FIABILITÉ CYBER (couleur de la bulle sur le radar)</t>
  </si>
  <si>
    <t>Dépendance</t>
  </si>
  <si>
    <t>Pénétration</t>
  </si>
  <si>
    <t>Maturité cyber</t>
  </si>
  <si>
    <t>Confiance</t>
  </si>
  <si>
    <t>Pas de lien avec le SI de la partie prenante pour réaliser la mission.</t>
  </si>
  <si>
    <t>Pas d'accès ou accès avec des privilèges de type utilisateur à des terminaux utilisateurs (poste de travail, ordiphone, etc.).</t>
  </si>
  <si>
    <t>Des règles d'hygiène sont appliquées ponctuellement et non formalisées. La capacité de réaction sur incident est incertaine.</t>
  </si>
  <si>
    <t>Les intentions de la partie prenante ne sont pas connues.</t>
  </si>
  <si>
    <t>Lien avec le SI de la partie prenante utile à la réalisation de la mission.</t>
  </si>
  <si>
    <t>Accès avec privilèges de type administrateur à des terminaux utilisateurs (parc informatique, flotte de terminaux mobiles, etc.) ou accès physique aux bureaux de l'organisme.</t>
  </si>
  <si>
    <t>Les règles d'hygiène et la réglementation sont prises en compte, sans intégration dans une politique globale. La sécurité numérique est assurée selon un mode réactif.</t>
  </si>
  <si>
    <t>Les intentions de la partie prenante sont considérées comme neutres.</t>
  </si>
  <si>
    <t>Lien avec le SI de la partie prenante indispensable mais non exclusif (possible substitution).</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</si>
  <si>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</si>
  <si>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</si>
  <si>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</si>
  <si>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Lien avec le SI de la partie prenante indispensable et unique (pas de substitution possible).</t>
  </si>
  <si>
    <t>Accès avec privilèges de type administrateur à des équipements d'infrastructure (annuaires d'entreprise, DNS, DHCP, switchs, pare-feu, hyperviseurs, baies de stockage, etc.) ou accès physique aux salles serveurs de l'organisme.</t>
  </si>
  <si>
    <t>La partie prenante met en œuvre une politique de management du risque. La politique est intégrée et prend pleinement en compte une dimension proactive.</t>
  </si>
  <si>
    <t>Les intentions de la partie prenante sont parfaitement connues et pleinement compatibles avec celles de l'organisation étudiée.</t>
  </si>
  <si>
    <t>Seuils des zones de dangerosité (issus du guide ANSSI p.47)</t>
  </si>
  <si>
    <t>Zone</t>
  </si>
  <si>
    <t>Couleur</t>
  </si>
  <si>
    <t>Borne inférieure</t>
  </si>
  <si>
    <t>Borne supérieure</t>
  </si>
  <si>
    <t>Interprétation</t>
  </si>
  <si>
    <t>Veille</t>
  </si>
  <si>
    <t>Vert</t>
  </si>
  <si>
    <t>0</t>
  </si>
  <si>
    <t>0,2</t>
  </si>
  <si>
    <t>Niveau de dangerosité acceptable, surveillance simple.</t>
  </si>
  <si>
    <t>Contrôle</t>
  </si>
  <si>
    <t>Jaune / Orange</t>
  </si>
  <si>
    <t>2,5</t>
  </si>
  <si>
    <t>Niveau de dangerosité modéré, mesures de contrôle à maintenir et renforcer si nécessaire.</t>
  </si>
  <si>
    <t>Danger</t>
  </si>
  <si>
    <t>Rouge</t>
  </si>
  <si>
    <t>16 (max)</t>
  </si>
  <si>
    <t>Partie prenante critique (PPC) : intégration prioritaire aux scénarios stratégiques et mesures de réduction.</t>
  </si>
  <si>
    <t>Paliers d'agrégation (taille et couleur des bulles sur le radar)</t>
  </si>
  <si>
    <t>Critère</t>
  </si>
  <si>
    <t>Palier 1</t>
  </si>
  <si>
    <t>Palier 2</t>
  </si>
  <si>
    <t>Palier 3</t>
  </si>
  <si>
    <t>Palier 4</t>
  </si>
  <si>
    <t>EXPOSITION (D × P)</t>
  </si>
  <si>
    <t>&lt; 3</t>
  </si>
  <si>
    <t>3 à 6</t>
  </si>
  <si>
    <t>7 à 9</t>
  </si>
  <si>
    <t>&gt; 9</t>
  </si>
  <si>
    <t>FIABILITÉ CYBER (M × C)</t>
  </si>
  <si>
    <t>&lt; 4</t>
  </si>
  <si>
    <t>4 à 5</t>
  </si>
  <si>
    <t>6 à 7</t>
  </si>
  <si>
    <t>&gt; 7</t>
  </si>
  <si>
    <t>A3.1 - Parties prenantes de l'écosystème d'UniCampus+</t>
  </si>
  <si>
    <t>Liste des parties prenantes (PP) externes identifiées dans l'écosystème d'UniCampus+. Conformément au guide ANSSI (p.91) : « un élément est une partie prenante si le commanditaire du périmètre de l'étude n'en est pas responsable ». Les étudiants, enseignants-chercheurs et personnels sont donc internes et ne figurent pas ici (ils ont été traités comme sources de risque en A2). Les clients au sens commercial n'existent pas pour une université publique — seules les catégories Partenaires et Prestataires sont retenues.</t>
  </si>
  <si>
    <t>Typologie des parties prenantes de l'écosystème</t>
  </si>
  <si>
    <t>Code PP</t>
  </si>
  <si>
    <t>Catégorie</t>
  </si>
  <si>
    <t>Description et nature de la relation</t>
  </si>
  <si>
    <t>Interaction avec UniCampus+</t>
  </si>
  <si>
    <t>PA1</t>
  </si>
  <si>
    <t>Partenaire</t>
  </si>
  <si>
    <t>Laboratoires de recherche partenaires</t>
  </si>
  <si>
    <t>Autres établissements de recherche (universités, EPIC, EPST) avec lesquels les laboratoires d'UniCampus+ co-publient, partagent des données scientifiques et conduisent des projets communs (ANR, projets européens).</t>
  </si>
  <si>
    <t>Partage de données de recherche (NFS / Samba), comptes invités, conventions de collaboration.</t>
  </si>
  <si>
    <t>PA2</t>
  </si>
  <si>
    <t>Partenaires industriels et financeurs</t>
  </si>
  <si>
    <t>Entreprises co-finançant des projets de recherche bilatéraux, chaires industrielles, contrats CIFRE. Peuvent recevoir des livrables de recherche et fournir des données ou des moyens.</t>
  </si>
  <si>
    <t>Échanges de livrables, accès ponctuel aux résultats intermédiaires, contrats de propriété intellectuelle.</t>
  </si>
  <si>
    <t>PA3</t>
  </si>
  <si>
    <t>Ministère de l'Enseignement Supérieur (tutelle)</t>
  </si>
  <si>
    <t>Autorité de tutelle administrative et financière. Reçoit du reporting et opère des contrôles. Pas d'interconnexion SI directe mais transmission régulière de données institutionnelles.</t>
  </si>
  <si>
    <t>Reporting périodique, transmission de données agrégées (effectifs, indicateurs).</t>
  </si>
  <si>
    <t>PA4</t>
  </si>
  <si>
    <t>CNIL (régulateur RGPD)</t>
  </si>
  <si>
    <t>Autorité administrative indépendante de contrôle des données personnelles. Interaction réglementaire (notifications d'incidents, contrôles éventuels).</t>
  </si>
  <si>
    <t>Notifications d'incident sous 72 h, contrôles ponctuels, recommandations.</t>
  </si>
  <si>
    <t>PR1</t>
  </si>
  <si>
    <t>Prestataire</t>
  </si>
  <si>
    <t>Éditeurs et mainteneurs logiciels</t>
  </si>
  <si>
    <t>Éditeurs des logiciels métier du SI : Moodle, application RH, OpenLDAP, Postfix/Dovecot. Fournissent les correctifs de sécurité et le support. Pas d'accès distant direct dans la maquette v1, mais peuvent intervenir en télémaintenance ponctuelle.</t>
  </si>
  <si>
    <t>Mises à jour, correctifs, support de niveau 2-3, télémaintenance occasionnelle.</t>
  </si>
  <si>
    <t>PR2</t>
  </si>
  <si>
    <t>RENATER (opérateur réseau de l'ESR)</t>
  </si>
  <si>
    <t>Opérateur du réseau national de l'enseignement supérieur et de la recherche français, assurant le raccordement Internet d'UniCampus+ et la fédération d'identités (Renater Identity Federation).</t>
  </si>
  <si>
    <t>Raccordement Internet, transit, services mutualisés (DNS, fédération d'identité).</t>
  </si>
  <si>
    <t>PR3</t>
  </si>
  <si>
    <t>Fournisseurs de bibliothèque numérique</t>
  </si>
  <si>
    <t>Fournisseurs externes de ressources documentaires accédées via la VM1.5 non instrumentée (Couperin, Cairn, EBSCO, ScienceDirect, etc.). Accès SSO/IP-based, hébergement chez le fournisseur.</t>
  </si>
  <si>
    <t>Accès aux ressources via IP filtering ou proxy d'authentification, transmission des historiques de consultation.</t>
  </si>
  <si>
    <t>A3.2 - Cartographie de dangerosité de l'écosystème</t>
  </si>
  <si>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</si>
  <si>
    <t>Évaluation de la dangerosité des parties prenantes</t>
  </si>
  <si>
    <t>Dépendance (D)</t>
  </si>
  <si>
    <t>Pénétration (P)</t>
  </si>
  <si>
    <t>Exposition (D×P)</t>
  </si>
  <si>
    <t>Maturité (M)</t>
  </si>
  <si>
    <t>Confiance (C)</t>
  </si>
  <si>
    <t>Fiabilité (M×C)</t>
  </si>
  <si>
    <t>Dangerosité ((D×P)/(M×C))</t>
  </si>
  <si>
    <t>PPC ?</t>
  </si>
  <si>
    <t>Ministère de l'Enseignement Supérieur</t>
  </si>
  <si>
    <t>RENATER (opérateur réseau ESR)</t>
  </si>
  <si>
    <t>Synthèse — Parties prenantes critiques (PPC)</t>
  </si>
  <si>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t>
  </si>
  <si>
    <t>Visualisation radar de la cartographie (équivalent slide 37 du cours et p.47 du guide ANSSI)</t>
  </si>
  <si>
    <t>A3.3 - Scénarios stratégiques</t>
  </si>
  <si>
    <t>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</si>
  <si>
    <t>Scénarios stratégiques retenus (un par couple SR/OV)</t>
  </si>
  <si>
    <t>Code scénario</t>
  </si>
  <si>
    <t>Chemins d'attaque stratégiques</t>
  </si>
  <si>
    <t>ER associé(s)</t>
  </si>
  <si>
    <t>SS1</t>
  </si>
  <si>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</si>
  <si>
    <t>SS2</t>
  </si>
  <si>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</si>
  <si>
    <t>SS3</t>
  </si>
  <si>
    <t>Revendre des données personnelles des étudiants et personnels</t>
  </si>
  <si>
    <t>Un cybercriminel exfiltre la base de données personnelles pour revente :
1. par exploitation directe d'une vulnérabilité applicative ou d'un bind LDAP anonyme depuis Internet ;
2. par rebond via un éditeur logiciel compromis (PR1) ayant accès en télémaintenance.</t>
  </si>
  <si>
    <t>SS4</t>
  </si>
  <si>
    <t>Exfiltrer le patrimoine scientifique stratégique</t>
  </si>
  <si>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</si>
  <si>
    <t>SS5</t>
  </si>
  <si>
    <t>Un personnel mécontent fraude le système RH :
1. depuis le réseau interne, en utilisant un compte légitime non révoqué pour modifier les éléments de paie ou les RIB de versement ;
2. par exploitation d'une vulnérabilité applicative de l'application RH.</t>
  </si>
  <si>
    <t>SS6</t>
  </si>
  <si>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</si>
  <si>
    <t>A3.4 - Mesures de sécurité sur l'écosystème</t>
  </si>
  <si>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</si>
  <si>
    <t>Mesures de sécurité pour les parties prenantes critiques</t>
  </si>
  <si>
    <t>Partie prenante</t>
  </si>
  <si>
    <t>Mesures de sécurité</t>
  </si>
  <si>
    <t>Dangerosité initiale</t>
  </si>
  <si>
    <t>Dangerosité résiduelle</t>
  </si>
  <si>
    <t>Déploiement de rançongiciel par supply-chain (SS2 chemin 2) ; exfiltration de données via télémaintenance (SS3 chemin 2)</t>
  </si>
  <si>
    <t>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 pénétration inchangée.</t>
  </si>
  <si>
    <t>Exfiltration du patrimoine scientifique par rebond (SS4 chemin 2) ; destruction collatérale par personnel mécontent (SS6 chemin 2)</t>
  </si>
  <si>
    <t>Diminuer la pénétration des laboratoires partenaires et accroître leur maturité cyber :
• limiter strictement le partage de données au juste besoin (principe du moindre privilège) —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</si>
  <si>
    <t>Exfiltration du patrimoine scientifique par rebond (SS4 chemin 3)</t>
  </si>
  <si>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</si>
  <si>
    <t>Hors scénarios principaux ; vigilance générale (VM1.5 non instrumentée)</t>
  </si>
  <si>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</si>
  <si>
    <t>Synthèse de l'effet des mesures sur l'écosystème</t>
  </si>
  <si>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</si>
  <si>
    <t>A4.0 - Échelle de vraisemblance des scénarios opérationnels</t>
  </si>
  <si>
    <t>Échelle de vraisemblance V1 à V4 issue du guide ANSSI EBIOS RM (p.66) et de la slide 46 du cours. Elle évalue la probabilité de succès ou la faisabilité d'un scénario opérationnel, en confrontant les ressources et la motivation présumées de la source de risque d'une part, et le socle de sécurité et le niveau de vulnérabilité de l'objet étudié d'autre part. La vraisemblance est évaluée directement (méthode expresse ANSSI) pour chacun des 6 scénarios opérationnels de A4.1.</t>
  </si>
  <si>
    <t>Échelle V1 à V4</t>
  </si>
  <si>
    <t>V1</t>
  </si>
  <si>
    <t>Peu vraisemblable</t>
  </si>
  <si>
    <t>La source de risque a peu de chance d'atteindre son objectif visé selon l'un des modes opératoires envisagés. La vraisemblance du scénario est faible.</t>
  </si>
  <si>
    <t>V2</t>
  </si>
  <si>
    <t>Vraisemblable</t>
  </si>
  <si>
    <t>La source de risque est susceptible d'atteindre son objectif visé selon l'un des modes opératoires envisagés. La vraisemblance du scénario est significative.</t>
  </si>
  <si>
    <t>V3</t>
  </si>
  <si>
    <t>Très vraisemblable</t>
  </si>
  <si>
    <t>La source de risque va probablement atteindre son objectif visé selon l'un des modes opératoires envisagés. La vraisemblance du scénario est élevée.</t>
  </si>
  <si>
    <t>V4</t>
  </si>
  <si>
    <t>Certain ou déjà produit</t>
  </si>
  <si>
    <t>La source de risque va certainement atteindre son objectif visé selon l'un des modes opératoires envisagés OU un tel scénario s'est déjà produit au sein de l'organisation (historique d'incidents).</t>
  </si>
  <si>
    <t>A4.1 - Scénarios opérationnels et graphes d'attaque</t>
  </si>
  <si>
    <t>Pour chacun des 6 scénarios stratégiques retenus en A3.3, un scénario opérationnel (SO) détaille les procédures techniques susceptibles d'être mises en œuvre par la source de risque. Chaque scénario est structuré selon la séquence d'attaque type CONNAÎTRE → RENTRER → TROUVER → EXPLOITER (slide 44 du cours, p.62-63 du guide ANSSI). Pour chaque phase, on liste plusieurs actions élémentaires plausibles (4 à 6) afin de couvrir l'éventail des modes opératoires. Le chemin retenu pour l'analyse est mis en évidence par des flèches rouges épaisses ; les chemins alternatifs sont en gris fin. La méthode de cotation de la vraisemblance utilisée est l'estimation globale directe (méthode expresse ANSSI, p.65). Les biens supports critiques (BSC) et les vulnérabilités spécifiques exploitées sont listés sous chaque graphe.</t>
  </si>
  <si>
    <t>SO1 - Étudiant malveillant compromet les résultats académiques (parent SS1, gravité G3, vraisemblance V3)</t>
  </si>
  <si>
    <t>Biens supports critiques (BSC)</t>
  </si>
  <si>
    <t>Vulnérabilités spécifiques exploitées</t>
  </si>
  <si>
    <t>• BS01 Moodle
• BS02 BDD Moodle
• BS04 LDAP
• BS13 Réseau campus</t>
  </si>
  <si>
    <t>• Bind LDAP anonyme sur uc-srv-ldap (slapd sans TLS, suffix dc=unicampus,dc=local)
• WiFi étudiant et serveurs sur le même VLAN 192.168.107.0/24 (aucun cloisonnement)
• Aucun MFA ni rate-limit sur Moodle (Apache + PHP basique)
• Hashs bcrypt Moodle dans mdl_user accessibles si compromission du serveur
• Aucun log centralisé : modification des notes non détectable a posteriori</t>
  </si>
  <si>
    <t>SO2 - Cybercriminel déploie un rançongiciel (parent SS2, gravité G4, vraisemblance V4)</t>
  </si>
  <si>
    <t>• BS10 Poste DSI
• BS01-07 tous serveurs
• BS12 VPN
• BS13 Réseau campus
• BS04 LDAP</t>
  </si>
  <si>
    <t>• Clé SSH privée d'admin en clair dans /home/ubuntu/.ssh/ sur uc-poste-dsi
• sudo NOPASSWD sur le poste DSI permettant l'élévation immédiate de privilèges
• VPN legacy PPTP avec MPPE-128 (RC4 déprécié) et compte partagé campus / unicampus2024
• VLAN unique 192.168.107.0/24 sans cloisonnement (étudiants, serveurs, recherche)
• Absence de sauvegardes immuables (snapshots, S3 Object Lock)
• Aucun log centralisé pour la détection précoce</t>
  </si>
  <si>
    <t>SO3 - Cybercriminel exfiltre les données personnelles (parent SS3, gravité G4, vraisemblance V3)</t>
  </si>
  <si>
    <t>• BS06 Web RH
• BS07 BDD RH
• BS04 LDAP
• BS03 Mail</t>
  </si>
  <si>
    <t>• Application uc-web-rh sans protection contre les injections SQL (pas de prepared statements)
• Communications HTTP en clair (pas de TLS) sur le réseau interne
• uc-db-rh en écoute sur 0.0.0.0:3306 sans VPN ni ACL applicative
• Hashs SHA1 sans sel dans uc-db-rh : cracking offline trivial (rainbow tables)
• Bind LDAP anonyme permettant l'énumération de toute la base étudiants/personnels
• Aucun WAF, aucune limite de débit applicative, aucune détection d'exfiltration</t>
  </si>
  <si>
    <t>SO4 - Acteur étatique exfiltre le patrimoine scientifique (parent SS4, gravité G3, vraisemblance V2)</t>
  </si>
  <si>
    <t>• BS05 Calcul/stockage recherche
• BS04 LDAP
• PA1 (PP)
• BS03 Mail
• PA2 (PP)</t>
  </si>
  <si>
    <t>• NFS et Samba exposés sur uc-calc-recherche sans authentification forte (rpcbind 111, smbd 445)
• Partages de données scientifiques trop largement ouverts aux partenaires (mauvaise habitude « tout diffuser »)
• Jupyter (port 8888) exposé sans authentification fiable
• PostgreSQL local (127.0.0.1:5432) sans chiffrement des données au repos
• Absence de détection d'exfiltration lente (pas de DLP, pas de monitoring sortant)
• Pas de cloisonnement entre le réseau étudiant et le réseau recherche</t>
  </si>
  <si>
    <t>SO5 - Personnel mécontent détourne la paie (parent SS5, gravité G3, vraisemblance V2)</t>
  </si>
  <si>
    <t>• BS06 Web RH
• BS07 BDD RH</t>
  </si>
  <si>
    <t>• Absence de procédure de révocation des comptes au départ du personnel
• Application RH sans MFA ni journalisation des modifications sensibles
• Pas de séparation des tâches (un seul compte peut modifier RIB et valider la paie)
• uc-db-rh accessible directement par les administratifs (écoute 0.0.0.0:3306)
• Hashs SHA1 sans sel : un compte compromis donne d'autres credentials
• Absence de validation à 4 yeux pour les modifications de paie</t>
  </si>
  <si>
    <t>SO6 - Personnel mécontent détruit par vengeance (parent SS6, gravité G3, vraisemblance V2)</t>
  </si>
  <si>
    <t>• BS05 Recherche
• BS07 BDD RH
• BS06 Web RH
• BS10 Poste DSI
• BS12 VPN</t>
  </si>
  <si>
    <t>• Absence de procédure de révocation des comptes au départ du personnel
• sudo NOPASSWD sur uc-poste-dsi permettant l'escalade en cas d'accès au poste
• Compte VPN partagé (campus / unicampus2024) non rotaté en cas de départ
• Absence totale de sauvegardes immuables (Object Lock S3, snapshots LVM read-only)
• Pas de versioning des données scientifiques sur uc-calc-recherche
• Pas de logs immuables permettant l'investigation post-incident</t>
  </si>
  <si>
    <t>A4.2 - Synthèse des scénarios opérationnels et de leur vraisemblance</t>
  </si>
  <si>
    <t>Tableau récapitulatif des 6 scénarios opérationnels (format inspiré de la slide 47 du cours et de la p.67 du guide ANSSI). Pour chaque scénario : la gravité héritée du scénario stratégique parent (A3.3), la vraisemblance globale évaluée en A4.1, et le niveau de risque (G × V) qui sera utilisé en A5 pour positionner les risques sur la matrice de traitement.</t>
  </si>
  <si>
    <t>Récapitulatif gravité × vraisemblance</t>
  </si>
  <si>
    <t>Code SO</t>
  </si>
  <si>
    <t>Chemin d'attaque retenu (synthèse)</t>
  </si>
  <si>
    <t>Vraisemblance</t>
  </si>
  <si>
    <t>Niveau de risque (G × V)</t>
  </si>
  <si>
    <t>SO1</t>
  </si>
  <si>
    <t>C: Scan VLAN 192.168.107.0/24 depuis WiFi étudiant → R: Phishing ciblé d'un enseignant (pièce jointe macro) → T: Connexion Moodle avec credentials enseignant → E: Modification des notes dans mdl_grade_*</t>
  </si>
  <si>
    <t>Modéré (9)</t>
  </si>
  <si>
    <t>SO2</t>
  </si>
  <si>
    <t>C: OSINT personnel (LinkedIn, site web, organigramme) → R: Phishing ciblé personnel (macro Word, ISO) → T: Vol clé SSH en clair uc-poste-dsi /.ssh/ → E: Chiffrement simultané Moodle / RH / Rech. / Mail</t>
  </si>
  <si>
    <t>Élevé (16)</t>
  </si>
  <si>
    <t>SO3</t>
  </si>
  <si>
    <t>C: Port scan externe identification uc-web-rh → R: Injection SQL uc-web-rh (login bypass) → T: Lecture directe uc-db-rh (0.0.0.0:3306) → E: Exfiltration base RH complète (500 personnels)</t>
  </si>
  <si>
    <t>Élevé (12)</t>
  </si>
  <si>
    <t>SO4</t>
  </si>
  <si>
    <t>C: Reconnaissance longue durée labos partenaires → R: Compromission labo partenaire PA1 (maillon faible) → T: Accès NFS/Samba partenaire (données partagées) → E: Exfiltration lente et discrète (low and slow)</t>
  </si>
  <si>
    <t>Modéré (6)</t>
  </si>
  <si>
    <t>SO5</t>
  </si>
  <si>
    <t>C: Connaissance interne du SI RH (personnel actif/ex) → R: Compte légitime actif → T: Navigation directe uc-web-rh (credentials valides) → E: Modification RIB de versement (détournement)</t>
  </si>
  <si>
    <t>SO6</t>
  </si>
  <si>
    <t>C: Connaissance interne du SI (personnel mécontent) → R: Compte légitime actif → T: Accès direct serveurs avec privilèges utilisateur → E: Suppression données critiques (RH, recherche)</t>
  </si>
  <si>
    <t>A5 — Traitement du risque</t>
  </si>
  <si>
    <t>Cette feuille recevra la matrice de risque, les mesures de traitement (techniques et organisationnelles), et la matrice de risque résiduel.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</si>
</sst>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charset val="1"/>
    </font>
    <font>
      <b/>
      <sz val="16"/>
      <color rgb="FFFFFFFF"/>
      <name val="Arial"/>
      <charset val="1"/>
    </font>
    <font>
      <b/>
      <sz val="13"/>
      <color rgb="FF1F4E78"/>
      <name val="Arial"/>
      <charset val="1"/>
    </font>
    <font>
      <b/>
      <sz val="12"/>
      <color rgb="FF1F4E78"/>
      <name val="Arial"/>
      <charset val="1"/>
    </font>
    <font>
      <i/>
      <sz val="10"/>
      <color rgb="FF595959"/>
      <name val="Arial"/>
      <charset val="1"/>
    </font>
    <font>
      <b/>
      <sz val="11"/>
      <color rgb="FFFFFFFF"/>
      <name val="Arial"/>
      <charset val="1"/>
    </font>
    <font>
      <b/>
      <sz val="11"/>
      <color rgb="FFFFFFFF"/>
      <name val="Arial"/>
      <family val="2"/>
      <charset val="1"/>
    </font>
    <font>
      <b/>
      <sz val="10"/>
      <name val="Arial"/>
      <charset val="1"/>
    </font>
    <font>
      <sz val="10"/>
      <name val="Arial"/>
      <family val="2"/>
      <charset val="1"/>
    </font>
    <font>
      <sz val="10"/>
      <name val="Arial"/>
      <charset val="1"/>
    </font>
    <font>
      <b/>
      <sz val="16"/>
      <color rgb="FFFFFFFF"/>
      <name val="Arial"/>
      <family val="2"/>
      <charset val="1"/>
    </font>
    <font>
      <b/>
      <sz val="10"/>
      <name val="Arial"/>
      <family val="2"/>
      <charset val="1"/>
    </font>
    <font>
      <sz val="11"/>
      <name val="Cambria"/>
      <charset val="1"/>
    </font>
    <font>
      <b/>
      <sz val="10"/>
      <color rgb="FFFFFFFF"/>
      <name val="Arial"/>
      <charset val="1"/>
    </font>
    <font>
      <b/>
      <sz val="12"/>
      <color rgb="FF1F4E78"/>
      <name val="Arial"/>
    </font>
    <font>
      <b/>
      <sz val="16"/>
      <color rgb="FFFFFFFF"/>
      <name val="Arial"/>
    </font>
    <font>
      <i/>
      <sz val="10"/>
      <color rgb="FF595959"/>
      <name val="Arial"/>
    </font>
    <font>
      <b/>
      <sz val="11"/>
      <color rgb="FFFFFFFF"/>
      <name val="Arial"/>
    </font>
    <font>
      <b/>
      <sz val="10"/>
      <name val="Arial"/>
    </font>
    <font>
      <sz val="10"/>
      <name val="Arial"/>
    </font>
  </fonts>
  <fills count="20">
    <fill>
      <patternFill patternType="none"/>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
      <patternFill patternType="solid">
        <fgColor rgb="FFD9E1F2"/>
      </patternFill>
    </fill>
    <fill>
      <patternFill patternType="solid">
        <fgColor rgb="FF1F4E78"/>
      </patternFill>
    </fill>
    <fill>
      <patternFill patternType="solid">
        <fgColor rgb="FFFFF2CC"/>
      </patternFill>
    </fill>
    <fill>
      <patternFill patternType="solid">
        <fgColor rgb="FFC6EFCE"/>
      </patternFill>
    </fill>
    <fill>
      <patternFill patternType="solid">
        <fgColor rgb="FFFFEB9C"/>
      </patternFill>
    </fill>
    <fill>
      <patternFill patternType="solid">
        <fgColor rgb="FFFFD699"/>
      </patternFill>
    </fill>
    <fill>
      <patternFill patternType="solid">
        <fgColor rgb="FFFFC7CE"/>
      </patternFill>
    </fill>
    <fill>
      <patternFill patternType="solid">
        <fgColor rgb="FFF2F2F2"/>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5">
    <xf numFmtId="0" fontId="0" fillId="0" borderId="0" xfId="0"/>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49" fontId="8" fillId="0" borderId="2" xfId="0" applyNumberFormat="1" applyFont="1" applyBorder="1" applyAlignment="1">
      <alignment horizontal="left" vertical="top" wrapText="1"/>
    </xf>
    <xf numFmtId="0" fontId="7" fillId="5" borderId="2" xfId="0" applyFont="1" applyFill="1" applyBorder="1" applyAlignment="1">
      <alignment horizontal="center" vertical="center" wrapText="1"/>
    </xf>
    <xf numFmtId="0" fontId="9" fillId="5" borderId="2" xfId="0" applyFont="1" applyFill="1" applyBorder="1" applyAlignment="1">
      <alignment horizontal="left" vertical="top" wrapText="1"/>
    </xf>
    <xf numFmtId="0" fontId="8" fillId="5" borderId="2" xfId="0" applyFont="1" applyFill="1" applyBorder="1" applyAlignment="1">
      <alignment horizontal="left" vertical="top" wrapText="1"/>
    </xf>
    <xf numFmtId="0" fontId="9" fillId="0" borderId="2" xfId="0" applyFont="1" applyBorder="1" applyAlignment="1">
      <alignment horizontal="center" vertical="center" wrapText="1"/>
    </xf>
    <xf numFmtId="0" fontId="9" fillId="5" borderId="2" xfId="0" applyFont="1" applyFill="1" applyBorder="1" applyAlignment="1">
      <alignment horizontal="center" vertical="center" wrapText="1"/>
    </xf>
    <xf numFmtId="0" fontId="7" fillId="3" borderId="2" xfId="0" applyFont="1" applyFill="1" applyBorder="1" applyAlignment="1">
      <alignment horizontal="left" vertical="top" wrapText="1"/>
    </xf>
    <xf numFmtId="0" fontId="7"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7" fillId="6" borderId="2" xfId="0" applyFont="1" applyFill="1" applyBorder="1" applyAlignment="1">
      <alignment horizontal="left" vertical="top" wrapText="1"/>
    </xf>
    <xf numFmtId="0" fontId="9" fillId="6" borderId="2" xfId="0" applyFont="1" applyFill="1" applyBorder="1" applyAlignment="1">
      <alignment horizontal="left" vertical="top" wrapText="1"/>
    </xf>
    <xf numFmtId="0" fontId="7" fillId="7" borderId="2" xfId="0" applyFont="1" applyFill="1" applyBorder="1" applyAlignment="1">
      <alignment horizontal="center" vertical="center" wrapText="1"/>
    </xf>
    <xf numFmtId="0" fontId="7" fillId="7" borderId="2" xfId="0" applyFont="1" applyFill="1" applyBorder="1" applyAlignment="1">
      <alignment horizontal="left" vertical="top" wrapText="1"/>
    </xf>
    <xf numFmtId="0" fontId="9" fillId="7" borderId="2" xfId="0" applyFont="1" applyFill="1" applyBorder="1" applyAlignment="1">
      <alignment horizontal="left" vertical="top" wrapText="1"/>
    </xf>
    <xf numFmtId="0" fontId="7" fillId="8" borderId="2" xfId="0" applyFont="1" applyFill="1" applyBorder="1" applyAlignment="1">
      <alignment horizontal="center" vertical="center" wrapText="1"/>
    </xf>
    <xf numFmtId="0" fontId="7" fillId="8" borderId="2" xfId="0" applyFont="1" applyFill="1" applyBorder="1" applyAlignment="1">
      <alignment horizontal="left" vertical="top" wrapText="1"/>
    </xf>
    <xf numFmtId="0" fontId="9" fillId="8" borderId="2" xfId="0" applyFont="1" applyFill="1" applyBorder="1" applyAlignment="1">
      <alignment horizontal="left" vertical="top" wrapText="1"/>
    </xf>
    <xf numFmtId="0" fontId="7" fillId="9" borderId="2" xfId="0" applyFont="1" applyFill="1" applyBorder="1" applyAlignment="1">
      <alignment horizontal="center" vertical="center" wrapText="1"/>
    </xf>
    <xf numFmtId="0" fontId="7" fillId="9"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12" fillId="0" borderId="0" xfId="0" applyFont="1"/>
    <xf numFmtId="0" fontId="7" fillId="0" borderId="2" xfId="0" applyFont="1" applyBorder="1" applyAlignment="1">
      <alignment horizontal="left" vertical="center" wrapText="1" indent="1"/>
    </xf>
    <xf numFmtId="0" fontId="7" fillId="10" borderId="2" xfId="0" applyFont="1" applyFill="1" applyBorder="1" applyAlignment="1">
      <alignment horizontal="left" vertical="center" wrapText="1" indent="1"/>
    </xf>
    <xf numFmtId="0" fontId="7" fillId="10" borderId="2" xfId="0" applyFont="1" applyFill="1" applyBorder="1" applyAlignment="1">
      <alignment horizontal="center" vertical="center" wrapText="1"/>
    </xf>
    <xf numFmtId="0" fontId="9" fillId="10" borderId="2" xfId="0" applyFont="1" applyFill="1" applyBorder="1" applyAlignment="1">
      <alignment horizontal="left" vertical="top" wrapText="1"/>
    </xf>
    <xf numFmtId="0" fontId="13" fillId="11" borderId="2" xfId="0" applyFont="1" applyFill="1" applyBorder="1" applyAlignment="1">
      <alignment horizontal="center" vertical="center" wrapText="1"/>
    </xf>
    <xf numFmtId="0" fontId="7" fillId="0" borderId="2" xfId="0" applyFont="1" applyBorder="1" applyAlignment="1">
      <alignment horizontal="left" vertical="top" wrapText="1"/>
    </xf>
    <xf numFmtId="0" fontId="7" fillId="5" borderId="2" xfId="0" applyFont="1" applyFill="1" applyBorder="1" applyAlignment="1">
      <alignment horizontal="left" vertical="top" wrapText="1"/>
    </xf>
    <xf numFmtId="0" fontId="9"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0" fillId="2" borderId="2" xfId="0" applyFill="1" applyBorder="1"/>
    <xf numFmtId="2" fontId="7" fillId="0" borderId="2" xfId="0" applyNumberFormat="1" applyFont="1" applyBorder="1" applyAlignment="1">
      <alignment horizontal="center" vertical="center" wrapText="1"/>
    </xf>
    <xf numFmtId="2" fontId="7" fillId="5" borderId="2" xfId="0" applyNumberFormat="1" applyFont="1" applyFill="1" applyBorder="1" applyAlignment="1">
      <alignment horizontal="center" vertical="center" wrapText="1"/>
    </xf>
    <xf numFmtId="2" fontId="7" fillId="8" borderId="2" xfId="0" applyNumberFormat="1" applyFont="1" applyFill="1" applyBorder="1" applyAlignment="1">
      <alignment horizontal="center" vertical="center" wrapText="1"/>
    </xf>
    <xf numFmtId="0" fontId="19" fillId="0" borderId="7" xfId="0" applyFont="1" applyBorder="1" applyAlignment="1">
      <alignment horizontal="left" vertical="top" wrapText="1"/>
    </xf>
    <xf numFmtId="0" fontId="19" fillId="0" borderId="7" xfId="0" applyFont="1" applyBorder="1" applyAlignment="1">
      <alignment horizontal="center" vertical="center" wrapText="1"/>
    </xf>
    <xf numFmtId="0" fontId="19" fillId="19" borderId="7" xfId="0" applyFont="1" applyFill="1" applyBorder="1" applyAlignment="1">
      <alignment horizontal="left" vertical="top" wrapText="1"/>
    </xf>
    <xf numFmtId="0" fontId="19" fillId="19" borderId="7" xfId="0" applyFont="1" applyFill="1" applyBorder="1" applyAlignment="1">
      <alignment horizontal="center" vertical="center" wrapText="1"/>
    </xf>
    <xf numFmtId="0" fontId="17" fillId="13" borderId="7" xfId="0" applyFont="1" applyFill="1" applyBorder="1" applyAlignment="1">
      <alignment horizontal="center" vertical="center" wrapText="1"/>
    </xf>
    <xf numFmtId="0" fontId="18" fillId="15" borderId="7" xfId="0" applyFont="1" applyFill="1" applyBorder="1" applyAlignment="1">
      <alignment horizontal="center" vertical="center" wrapText="1"/>
    </xf>
    <xf numFmtId="0" fontId="18" fillId="0" borderId="7" xfId="0" applyFont="1" applyBorder="1" applyAlignment="1">
      <alignment horizontal="center" vertical="center" wrapText="1"/>
    </xf>
    <xf numFmtId="0" fontId="18" fillId="16" borderId="7" xfId="0" applyFont="1" applyFill="1" applyBorder="1" applyAlignment="1">
      <alignment horizontal="center" vertical="center" wrapText="1"/>
    </xf>
    <xf numFmtId="0" fontId="18" fillId="17" borderId="7" xfId="0" applyFont="1" applyFill="1" applyBorder="1" applyAlignment="1">
      <alignment horizontal="center" vertical="center" wrapText="1"/>
    </xf>
    <xf numFmtId="0" fontId="18" fillId="18" borderId="7" xfId="0" applyFont="1" applyFill="1" applyBorder="1" applyAlignment="1">
      <alignment horizontal="center" vertical="center" wrapText="1"/>
    </xf>
    <xf numFmtId="0" fontId="18" fillId="19" borderId="7" xfId="0" applyFont="1" applyFill="1" applyBorder="1" applyAlignment="1">
      <alignment horizontal="center" vertical="center" wrapText="1"/>
    </xf>
    <xf numFmtId="0" fontId="4" fillId="4" borderId="1" xfId="0" applyFont="1" applyFill="1" applyBorder="1" applyAlignment="1">
      <alignment horizontal="left" vertical="top" wrapText="1"/>
    </xf>
    <xf numFmtId="0" fontId="0" fillId="0" borderId="3" xfId="0" applyBorder="1"/>
    <xf numFmtId="0" fontId="3" fillId="3" borderId="0" xfId="0" applyFont="1" applyFill="1" applyAlignment="1">
      <alignment horizontal="left" vertical="center" indent="1"/>
    </xf>
    <xf numFmtId="0" fontId="0" fillId="0" borderId="0" xfId="0"/>
    <xf numFmtId="0" fontId="1" fillId="2" borderId="0" xfId="0" applyFont="1" applyFill="1" applyAlignment="1">
      <alignment horizontal="center" vertical="center" wrapText="1"/>
    </xf>
    <xf numFmtId="0" fontId="2" fillId="0" borderId="0" xfId="0" applyFont="1" applyAlignment="1">
      <alignment horizontal="center" vertical="center"/>
    </xf>
    <xf numFmtId="0" fontId="10" fillId="2" borderId="0" xfId="0" applyFont="1" applyFill="1" applyAlignment="1">
      <alignment horizontal="center" vertical="center" wrapText="1"/>
    </xf>
    <xf numFmtId="0" fontId="8" fillId="3" borderId="2" xfId="0" applyFont="1" applyFill="1" applyBorder="1" applyAlignment="1">
      <alignment horizontal="left" vertical="top" wrapText="1"/>
    </xf>
    <xf numFmtId="0" fontId="0" fillId="0" borderId="4" xfId="0" applyBorder="1"/>
    <xf numFmtId="0" fontId="0" fillId="0" borderId="5" xfId="0" applyBorder="1"/>
    <xf numFmtId="0" fontId="7" fillId="3" borderId="2" xfId="0" applyFont="1" applyFill="1" applyBorder="1" applyAlignment="1">
      <alignment horizontal="center" vertical="center" wrapText="1"/>
    </xf>
    <xf numFmtId="0" fontId="7" fillId="10" borderId="2" xfId="0" applyFont="1" applyFill="1" applyBorder="1" applyAlignment="1">
      <alignment horizontal="left" vertical="center" wrapText="1" indent="1"/>
    </xf>
    <xf numFmtId="0" fontId="3" fillId="3" borderId="0" xfId="0" applyFont="1" applyFill="1" applyAlignment="1">
      <alignment horizontal="left" vertical="center" wrapText="1" indent="1"/>
    </xf>
    <xf numFmtId="0" fontId="7" fillId="0" borderId="2" xfId="0" applyFont="1" applyBorder="1" applyAlignment="1">
      <alignment horizontal="left" vertical="center" wrapText="1" indent="1"/>
    </xf>
    <xf numFmtId="0" fontId="7" fillId="0" borderId="1" xfId="0" applyFont="1" applyBorder="1" applyAlignment="1">
      <alignment horizontal="center" vertical="center" wrapText="1"/>
    </xf>
    <xf numFmtId="0" fontId="9" fillId="0" borderId="1" xfId="0" applyFont="1" applyBorder="1" applyAlignment="1">
      <alignment horizontal="left" vertical="top" wrapText="1"/>
    </xf>
    <xf numFmtId="0" fontId="9" fillId="5" borderId="1" xfId="0" applyFont="1" applyFill="1" applyBorder="1" applyAlignment="1">
      <alignment horizontal="left" vertical="top" wrapText="1"/>
    </xf>
    <xf numFmtId="0" fontId="5" fillId="2" borderId="2" xfId="0" applyFont="1" applyFill="1" applyBorder="1" applyAlignment="1">
      <alignment horizontal="center" vertical="center" wrapText="1"/>
    </xf>
    <xf numFmtId="0" fontId="0" fillId="0" borderId="6" xfId="0" applyBorder="1"/>
    <xf numFmtId="0" fontId="13" fillId="11" borderId="1"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7" fillId="6"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9" fillId="0" borderId="2" xfId="0" applyFont="1" applyBorder="1" applyAlignment="1">
      <alignment horizontal="left" vertical="top" wrapText="1"/>
    </xf>
    <xf numFmtId="0" fontId="14" fillId="12" borderId="0" xfId="0" applyFont="1" applyFill="1" applyAlignment="1">
      <alignment horizontal="left" vertical="center" indent="1"/>
    </xf>
    <xf numFmtId="0" fontId="16" fillId="14" borderId="7" xfId="0" applyFont="1" applyFill="1" applyBorder="1" applyAlignment="1">
      <alignment horizontal="left" vertical="top" wrapText="1"/>
    </xf>
    <xf numFmtId="0" fontId="15" fillId="13" borderId="0" xfId="0" applyFont="1" applyFill="1" applyAlignment="1">
      <alignment horizontal="center" vertical="center" wrapText="1"/>
    </xf>
    <xf numFmtId="0" fontId="14" fillId="12" borderId="0" xfId="0" applyFont="1" applyFill="1" applyAlignment="1">
      <alignment horizontal="left" vertical="center" wrapText="1" indent="1"/>
    </xf>
    <xf numFmtId="0" fontId="19" fillId="0" borderId="7" xfId="0" applyFont="1" applyBorder="1" applyAlignment="1">
      <alignment horizontal="left" vertical="top" wrapText="1"/>
    </xf>
    <xf numFmtId="0" fontId="17" fillId="13" borderId="7" xfId="0" applyFont="1" applyFill="1" applyBorder="1" applyAlignment="1">
      <alignment horizontal="center" vertical="center" wrapText="1"/>
    </xf>
  </cellXfs>
  <cellStyles count="1">
    <cellStyle name="Normal" xfId="0" builtinId="0"/>
  </cellStyles>
  <dxfs count="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D69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C7CE"/>
      <rgbColor rgb="FFCC99FF"/>
      <rgbColor rgb="FFFFD6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0</xdr:col>
      <xdr:colOff>0</xdr:colOff>
      <xdr:row>19</xdr:row>
      <xdr:rowOff>0</xdr:rowOff>
    </xdr:from>
    <xdr:ext cx="10277475" cy="6315075"/>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7</xdr:row>
      <xdr:rowOff>1</xdr:rowOff>
    </xdr:from>
    <xdr:ext cx="12849225" cy="805180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xfrm>
          <a:off x="0" y="3314701"/>
          <a:ext cx="12849225" cy="8051800"/>
        </a:xfrm>
        <a:prstGeom prst="rect">
          <a:avLst/>
        </a:prstGeom>
      </xdr:spPr>
    </xdr:pic>
    <xdr:clientData/>
  </xdr:oneCellAnchor>
  <xdr:oneCellAnchor>
    <xdr:from>
      <xdr:col>0</xdr:col>
      <xdr:colOff>0</xdr:colOff>
      <xdr:row>56</xdr:row>
      <xdr:rowOff>1</xdr:rowOff>
    </xdr:from>
    <xdr:ext cx="12849225" cy="8013700"/>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cstate="print"/>
        <a:stretch>
          <a:fillRect/>
        </a:stretch>
      </xdr:blipFill>
      <xdr:spPr>
        <a:xfrm>
          <a:off x="0" y="13593234"/>
          <a:ext cx="12849225" cy="8013700"/>
        </a:xfrm>
        <a:prstGeom prst="rect">
          <a:avLst/>
        </a:prstGeom>
      </xdr:spPr>
    </xdr:pic>
    <xdr:clientData/>
  </xdr:oneCellAnchor>
  <xdr:oneCellAnchor>
    <xdr:from>
      <xdr:col>0</xdr:col>
      <xdr:colOff>0</xdr:colOff>
      <xdr:row>105</xdr:row>
      <xdr:rowOff>0</xdr:rowOff>
    </xdr:from>
    <xdr:ext cx="12849225" cy="8017933"/>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cstate="print"/>
        <a:stretch>
          <a:fillRect/>
        </a:stretch>
      </xdr:blipFill>
      <xdr:spPr>
        <a:xfrm>
          <a:off x="0" y="23973367"/>
          <a:ext cx="12849225" cy="8017933"/>
        </a:xfrm>
        <a:prstGeom prst="rect">
          <a:avLst/>
        </a:prstGeom>
      </xdr:spPr>
    </xdr:pic>
    <xdr:clientData/>
  </xdr:oneCellAnchor>
  <xdr:oneCellAnchor>
    <xdr:from>
      <xdr:col>0</xdr:col>
      <xdr:colOff>0</xdr:colOff>
      <xdr:row>154</xdr:row>
      <xdr:rowOff>0</xdr:rowOff>
    </xdr:from>
    <xdr:ext cx="12849225" cy="7945967"/>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cstate="print"/>
        <a:stretch>
          <a:fillRect/>
        </a:stretch>
      </xdr:blipFill>
      <xdr:spPr>
        <a:xfrm>
          <a:off x="0" y="34353500"/>
          <a:ext cx="12849225" cy="7945967"/>
        </a:xfrm>
        <a:prstGeom prst="rect">
          <a:avLst/>
        </a:prstGeom>
      </xdr:spPr>
    </xdr:pic>
    <xdr:clientData/>
  </xdr:oneCellAnchor>
  <xdr:oneCellAnchor>
    <xdr:from>
      <xdr:col>0</xdr:col>
      <xdr:colOff>0</xdr:colOff>
      <xdr:row>203</xdr:row>
      <xdr:rowOff>0</xdr:rowOff>
    </xdr:from>
    <xdr:ext cx="12849225" cy="8026400"/>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cstate="print"/>
        <a:stretch>
          <a:fillRect/>
        </a:stretch>
      </xdr:blipFill>
      <xdr:spPr>
        <a:xfrm>
          <a:off x="0" y="44733633"/>
          <a:ext cx="12849225" cy="8026400"/>
        </a:xfrm>
        <a:prstGeom prst="rect">
          <a:avLst/>
        </a:prstGeom>
      </xdr:spPr>
    </xdr:pic>
    <xdr:clientData/>
  </xdr:oneCellAnchor>
  <xdr:oneCellAnchor>
    <xdr:from>
      <xdr:col>0</xdr:col>
      <xdr:colOff>0</xdr:colOff>
      <xdr:row>252</xdr:row>
      <xdr:rowOff>1</xdr:rowOff>
    </xdr:from>
    <xdr:ext cx="12849225" cy="8013700"/>
    <xdr:pic>
      <xdr:nvPicPr>
        <xdr:cNvPr id="7" name="Image 6" descr="Picture">
          <a:extLst>
            <a:ext uri="{FF2B5EF4-FFF2-40B4-BE49-F238E27FC236}">
              <a16:creationId xmlns:a16="http://schemas.microsoft.com/office/drawing/2014/main" id="{00000000-0008-0000-1000-000007000000}"/>
            </a:ext>
          </a:extLst>
        </xdr:cNvPr>
        <xdr:cNvPicPr/>
      </xdr:nvPicPr>
      <xdr:blipFill>
        <a:blip xmlns:r="http://schemas.openxmlformats.org/officeDocument/2006/relationships" r:embed="rId6" cstate="print"/>
        <a:stretch>
          <a:fillRect/>
        </a:stretch>
      </xdr:blipFill>
      <xdr:spPr>
        <a:xfrm>
          <a:off x="0" y="55113768"/>
          <a:ext cx="12849225" cy="8013700"/>
        </a:xfrm>
        <a:prstGeom prst="rect">
          <a:avLst/>
        </a:prstGeom>
      </xdr:spPr>
    </xdr:pic>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
  <sheetViews>
    <sheetView showGridLines="0" zoomScaleNormal="100" workbookViewId="0">
      <pane ySplit="3" topLeftCell="A4" activePane="bottomLeft" state="frozen"/>
      <selection pane="bottomLeft" activeCell="H14" sqref="H14"/>
    </sheetView>
  </sheetViews>
  <sheetFormatPr baseColWidth="10" defaultColWidth="8.703125" defaultRowHeight="14.35" x14ac:dyDescent="0.5"/>
  <cols>
    <col min="1" max="1" width="4" customWidth="1"/>
    <col min="2" max="2" width="28" customWidth="1"/>
    <col min="3" max="3" width="70" customWidth="1"/>
    <col min="4" max="4" width="25" customWidth="1"/>
  </cols>
  <sheetData>
    <row r="1" spans="1:4" ht="27.75" customHeight="1" x14ac:dyDescent="0.5">
      <c r="A1" s="58" t="s">
        <v>39</v>
      </c>
      <c r="B1" s="57"/>
      <c r="C1" s="57"/>
      <c r="D1" s="57"/>
    </row>
    <row r="2" spans="1:4" ht="27.75" customHeight="1" x14ac:dyDescent="0.5">
      <c r="A2" s="57"/>
      <c r="B2" s="57"/>
      <c r="C2" s="57"/>
      <c r="D2" s="57"/>
    </row>
    <row r="4" spans="1:4" ht="15.75" customHeight="1" x14ac:dyDescent="0.5">
      <c r="A4" s="59" t="s">
        <v>40</v>
      </c>
      <c r="B4" s="57"/>
      <c r="C4" s="57"/>
      <c r="D4" s="57"/>
    </row>
    <row r="6" spans="1:4" ht="21.75" customHeight="1" x14ac:dyDescent="0.5">
      <c r="A6" s="56" t="s">
        <v>41</v>
      </c>
      <c r="B6" s="57"/>
      <c r="C6" s="57"/>
      <c r="D6" s="57"/>
    </row>
    <row r="7" spans="1:4" ht="90" customHeight="1" x14ac:dyDescent="0.5">
      <c r="A7" s="54" t="s">
        <v>42</v>
      </c>
      <c r="B7" s="55"/>
      <c r="C7" s="55"/>
      <c r="D7" s="55"/>
    </row>
    <row r="9" spans="1:4" ht="21.75" customHeight="1" x14ac:dyDescent="0.5">
      <c r="A9" s="56" t="s">
        <v>43</v>
      </c>
      <c r="B9" s="57"/>
      <c r="C9" s="57"/>
      <c r="D9" s="57"/>
    </row>
    <row r="10" spans="1:4" ht="27.75" customHeight="1" x14ac:dyDescent="0.5">
      <c r="A10" s="1" t="s">
        <v>44</v>
      </c>
      <c r="B10" s="1" t="s">
        <v>45</v>
      </c>
      <c r="C10" s="1" t="s">
        <v>46</v>
      </c>
      <c r="D10" s="2" t="s">
        <v>47</v>
      </c>
    </row>
    <row r="11" spans="1:4" ht="48" customHeight="1" x14ac:dyDescent="0.5">
      <c r="A11" s="3" t="s">
        <v>48</v>
      </c>
      <c r="B11" s="4" t="s">
        <v>49</v>
      </c>
      <c r="C11" s="5" t="s">
        <v>50</v>
      </c>
      <c r="D11" s="6" t="s">
        <v>51</v>
      </c>
    </row>
    <row r="12" spans="1:4" ht="48" customHeight="1" x14ac:dyDescent="0.5">
      <c r="A12" s="7" t="s">
        <v>52</v>
      </c>
      <c r="B12" s="8" t="s">
        <v>53</v>
      </c>
      <c r="C12" s="8" t="s">
        <v>54</v>
      </c>
      <c r="D12" s="8" t="s">
        <v>55</v>
      </c>
    </row>
    <row r="13" spans="1:4" ht="48" customHeight="1" x14ac:dyDescent="0.5">
      <c r="A13" s="3" t="s">
        <v>56</v>
      </c>
      <c r="B13" s="5" t="s">
        <v>57</v>
      </c>
      <c r="C13" s="5" t="s">
        <v>58</v>
      </c>
      <c r="D13" s="5" t="s">
        <v>59</v>
      </c>
    </row>
    <row r="14" spans="1:4" ht="48" customHeight="1" x14ac:dyDescent="0.5">
      <c r="A14" s="7" t="s">
        <v>60</v>
      </c>
      <c r="B14" s="8" t="s">
        <v>61</v>
      </c>
      <c r="C14" s="8" t="s">
        <v>62</v>
      </c>
      <c r="D14" s="9" t="s">
        <v>63</v>
      </c>
    </row>
    <row r="15" spans="1:4" ht="48" customHeight="1" x14ac:dyDescent="0.5">
      <c r="A15" s="3" t="s">
        <v>64</v>
      </c>
      <c r="B15" s="5" t="s">
        <v>65</v>
      </c>
      <c r="C15" s="5" t="s">
        <v>66</v>
      </c>
      <c r="D15" s="4" t="s">
        <v>67</v>
      </c>
    </row>
    <row r="17" spans="1:4" ht="21.75" customHeight="1" x14ac:dyDescent="0.5">
      <c r="A17" s="56" t="s">
        <v>68</v>
      </c>
      <c r="B17" s="57"/>
      <c r="C17" s="57"/>
      <c r="D17" s="57"/>
    </row>
    <row r="18" spans="1:4" ht="24" customHeight="1" x14ac:dyDescent="0.5">
      <c r="A18" s="1" t="s">
        <v>69</v>
      </c>
      <c r="B18" s="1" t="s">
        <v>44</v>
      </c>
      <c r="C18" s="1" t="s">
        <v>70</v>
      </c>
      <c r="D18" s="1" t="s">
        <v>71</v>
      </c>
    </row>
    <row r="19" spans="1:4" ht="21.75" customHeight="1" x14ac:dyDescent="0.5">
      <c r="A19" s="4" t="s">
        <v>72</v>
      </c>
      <c r="B19" s="10" t="s">
        <v>73</v>
      </c>
      <c r="C19" s="5" t="s">
        <v>74</v>
      </c>
      <c r="D19" s="5" t="s">
        <v>75</v>
      </c>
    </row>
    <row r="20" spans="1:4" ht="21.75" customHeight="1" x14ac:dyDescent="0.5">
      <c r="A20" s="8" t="s">
        <v>76</v>
      </c>
      <c r="B20" s="11" t="s">
        <v>48</v>
      </c>
      <c r="C20" s="8" t="s">
        <v>77</v>
      </c>
      <c r="D20" s="8" t="s">
        <v>78</v>
      </c>
    </row>
    <row r="21" spans="1:4" ht="21.75" customHeight="1" x14ac:dyDescent="0.5">
      <c r="A21" s="5" t="s">
        <v>79</v>
      </c>
      <c r="B21" s="10" t="s">
        <v>48</v>
      </c>
      <c r="C21" s="5" t="s">
        <v>80</v>
      </c>
      <c r="D21" s="5" t="s">
        <v>78</v>
      </c>
    </row>
    <row r="22" spans="1:4" ht="21.75" customHeight="1" x14ac:dyDescent="0.5">
      <c r="A22" s="8" t="s">
        <v>81</v>
      </c>
      <c r="B22" s="11" t="s">
        <v>48</v>
      </c>
      <c r="C22" s="8" t="s">
        <v>82</v>
      </c>
      <c r="D22" s="8" t="s">
        <v>78</v>
      </c>
    </row>
    <row r="23" spans="1:4" ht="21.75" customHeight="1" x14ac:dyDescent="0.5">
      <c r="A23" s="5" t="s">
        <v>83</v>
      </c>
      <c r="B23" s="10" t="s">
        <v>48</v>
      </c>
      <c r="C23" s="5" t="s">
        <v>84</v>
      </c>
      <c r="D23" s="5" t="s">
        <v>78</v>
      </c>
    </row>
    <row r="24" spans="1:4" ht="21.75" customHeight="1" x14ac:dyDescent="0.5">
      <c r="A24" s="8" t="s">
        <v>85</v>
      </c>
      <c r="B24" s="11" t="s">
        <v>48</v>
      </c>
      <c r="C24" s="8" t="s">
        <v>86</v>
      </c>
      <c r="D24" s="8" t="s">
        <v>78</v>
      </c>
    </row>
    <row r="25" spans="1:4" ht="25.5" customHeight="1" x14ac:dyDescent="0.5">
      <c r="A25" s="5" t="s">
        <v>87</v>
      </c>
      <c r="B25" s="10" t="s">
        <v>52</v>
      </c>
      <c r="C25" s="5" t="s">
        <v>88</v>
      </c>
      <c r="D25" s="5" t="s">
        <v>78</v>
      </c>
    </row>
    <row r="26" spans="1:4" ht="25.5" customHeight="1" x14ac:dyDescent="0.5">
      <c r="A26" s="8" t="s">
        <v>89</v>
      </c>
      <c r="B26" s="11" t="s">
        <v>52</v>
      </c>
      <c r="C26" s="8" t="s">
        <v>90</v>
      </c>
      <c r="D26" s="8" t="s">
        <v>78</v>
      </c>
    </row>
    <row r="27" spans="1:4" ht="25.5" customHeight="1" x14ac:dyDescent="0.5">
      <c r="A27" s="5" t="s">
        <v>91</v>
      </c>
      <c r="B27" s="10" t="s">
        <v>52</v>
      </c>
      <c r="C27" s="5" t="s">
        <v>92</v>
      </c>
      <c r="D27" s="5" t="s">
        <v>78</v>
      </c>
    </row>
    <row r="28" spans="1:4" ht="25.5" customHeight="1" x14ac:dyDescent="0.5">
      <c r="A28" s="8" t="s">
        <v>93</v>
      </c>
      <c r="B28" s="11" t="s">
        <v>52</v>
      </c>
      <c r="C28" s="8" t="s">
        <v>94</v>
      </c>
      <c r="D28" s="8" t="s">
        <v>78</v>
      </c>
    </row>
    <row r="29" spans="1:4" ht="25.5" customHeight="1" x14ac:dyDescent="0.5">
      <c r="A29" s="5" t="s">
        <v>95</v>
      </c>
      <c r="B29" s="10" t="s">
        <v>56</v>
      </c>
      <c r="C29" s="5" t="s">
        <v>96</v>
      </c>
      <c r="D29" s="5" t="s">
        <v>78</v>
      </c>
    </row>
    <row r="30" spans="1:4" ht="25.5" customHeight="1" x14ac:dyDescent="0.5">
      <c r="A30" s="8" t="s">
        <v>97</v>
      </c>
      <c r="B30" s="11" t="s">
        <v>56</v>
      </c>
      <c r="C30" s="8" t="s">
        <v>98</v>
      </c>
      <c r="D30" s="8" t="s">
        <v>78</v>
      </c>
    </row>
    <row r="31" spans="1:4" ht="25.5" customHeight="1" x14ac:dyDescent="0.5">
      <c r="A31" s="5" t="s">
        <v>99</v>
      </c>
      <c r="B31" s="10" t="s">
        <v>56</v>
      </c>
      <c r="C31" s="5" t="s">
        <v>100</v>
      </c>
      <c r="D31" s="5" t="s">
        <v>78</v>
      </c>
    </row>
    <row r="32" spans="1:4" ht="25.5" customHeight="1" x14ac:dyDescent="0.5">
      <c r="A32" s="8" t="s">
        <v>101</v>
      </c>
      <c r="B32" s="11" t="s">
        <v>56</v>
      </c>
      <c r="C32" s="8" t="s">
        <v>102</v>
      </c>
      <c r="D32" s="8" t="s">
        <v>78</v>
      </c>
    </row>
    <row r="33" spans="1:4" ht="25.5" customHeight="1" x14ac:dyDescent="0.5">
      <c r="A33" s="5" t="s">
        <v>103</v>
      </c>
      <c r="B33" s="10" t="s">
        <v>56</v>
      </c>
      <c r="C33" s="5" t="s">
        <v>104</v>
      </c>
      <c r="D33" s="5" t="s">
        <v>78</v>
      </c>
    </row>
    <row r="34" spans="1:4" ht="26" customHeight="1" x14ac:dyDescent="0.5">
      <c r="A34" s="43" t="s">
        <v>105</v>
      </c>
      <c r="B34" s="44" t="s">
        <v>60</v>
      </c>
      <c r="C34" s="43" t="s">
        <v>106</v>
      </c>
      <c r="D34" s="43" t="s">
        <v>78</v>
      </c>
    </row>
    <row r="35" spans="1:4" ht="26" customHeight="1" x14ac:dyDescent="0.5">
      <c r="A35" s="45" t="s">
        <v>107</v>
      </c>
      <c r="B35" s="46" t="s">
        <v>60</v>
      </c>
      <c r="C35" s="45" t="s">
        <v>108</v>
      </c>
      <c r="D35" s="45" t="s">
        <v>78</v>
      </c>
    </row>
    <row r="36" spans="1:4" ht="26" customHeight="1" x14ac:dyDescent="0.5">
      <c r="A36" s="43" t="s">
        <v>109</v>
      </c>
      <c r="B36" s="44" t="s">
        <v>60</v>
      </c>
      <c r="C36" s="43" t="s">
        <v>110</v>
      </c>
      <c r="D36" s="43" t="s">
        <v>78</v>
      </c>
    </row>
    <row r="37" spans="1:4" ht="88.7" x14ac:dyDescent="0.5">
      <c r="A37" s="5" t="s">
        <v>111</v>
      </c>
      <c r="B37" s="10" t="s">
        <v>64</v>
      </c>
      <c r="C37" s="5" t="s">
        <v>112</v>
      </c>
      <c r="D37" s="5" t="s">
        <v>113</v>
      </c>
    </row>
  </sheetData>
  <mergeCells count="6">
    <mergeCell ref="A17:D17"/>
    <mergeCell ref="A1:D2"/>
    <mergeCell ref="A9:D9"/>
    <mergeCell ref="A6:D6"/>
    <mergeCell ref="A4:D4"/>
    <mergeCell ref="A7:D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4" customWidth="1"/>
    <col min="2" max="2" width="30" customWidth="1"/>
    <col min="3" max="3" width="100" customWidth="1"/>
  </cols>
  <sheetData>
    <row r="1" spans="1:3" ht="25.5" customHeight="1" x14ac:dyDescent="0.5">
      <c r="A1" s="60" t="s">
        <v>114</v>
      </c>
      <c r="B1" s="57"/>
      <c r="C1" s="57"/>
    </row>
    <row r="2" spans="1:3" ht="25.5" customHeight="1" x14ac:dyDescent="0.5">
      <c r="A2" s="57"/>
      <c r="B2" s="57"/>
      <c r="C2" s="57"/>
    </row>
    <row r="4" spans="1:3" ht="43.5" customHeight="1" x14ac:dyDescent="0.5">
      <c r="A4" s="54" t="s">
        <v>115</v>
      </c>
      <c r="B4" s="55"/>
      <c r="C4" s="55"/>
    </row>
    <row r="6" spans="1:3" ht="21.75" customHeight="1" x14ac:dyDescent="0.5">
      <c r="A6" s="56" t="s">
        <v>116</v>
      </c>
      <c r="B6" s="57"/>
      <c r="C6" s="57"/>
    </row>
    <row r="7" spans="1:3" ht="24" customHeight="1" x14ac:dyDescent="0.5">
      <c r="A7" s="1"/>
      <c r="B7" s="1" t="s">
        <v>117</v>
      </c>
      <c r="C7" s="1" t="s">
        <v>118</v>
      </c>
    </row>
    <row r="8" spans="1:3" ht="87.75" customHeight="1" x14ac:dyDescent="0.5">
      <c r="A8" s="3">
        <v>1</v>
      </c>
      <c r="B8" s="12" t="s">
        <v>119</v>
      </c>
      <c r="C8" s="5" t="s">
        <v>120</v>
      </c>
    </row>
    <row r="9" spans="1:3" ht="132" customHeight="1" x14ac:dyDescent="0.5">
      <c r="A9" s="3">
        <v>2</v>
      </c>
      <c r="B9" s="12" t="s">
        <v>121</v>
      </c>
      <c r="C9" s="5" t="s">
        <v>122</v>
      </c>
    </row>
    <row r="10" spans="1:3" ht="132" customHeight="1" x14ac:dyDescent="0.5">
      <c r="A10" s="3">
        <v>3</v>
      </c>
      <c r="B10" s="12" t="s">
        <v>123</v>
      </c>
      <c r="C10" s="5" t="s">
        <v>124</v>
      </c>
    </row>
    <row r="11" spans="1:3" ht="153.75" customHeight="1" x14ac:dyDescent="0.5">
      <c r="A11" s="3">
        <v>4</v>
      </c>
      <c r="B11" s="12" t="s">
        <v>125</v>
      </c>
      <c r="C11" s="5" t="s">
        <v>126</v>
      </c>
    </row>
    <row r="12" spans="1:3" ht="132" customHeight="1" x14ac:dyDescent="0.5">
      <c r="A12" s="3">
        <v>5</v>
      </c>
      <c r="B12" s="12" t="s">
        <v>127</v>
      </c>
      <c r="C12" s="5" t="s">
        <v>128</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
  <sheetViews>
    <sheetView showGridLines="0" zoomScaleNormal="100" workbookViewId="0">
      <pane ySplit="7" topLeftCell="A11" activePane="bottomLeft" state="frozen"/>
      <selection pane="bottomLeft" activeCell="E17" sqref="E17"/>
    </sheetView>
  </sheetViews>
  <sheetFormatPr baseColWidth="10" defaultColWidth="8.703125" defaultRowHeight="14.35" x14ac:dyDescent="0.5"/>
  <cols>
    <col min="1" max="1" width="10" customWidth="1"/>
    <col min="2" max="2" width="28" customWidth="1"/>
    <col min="3" max="3" width="35" customWidth="1"/>
    <col min="4" max="4" width="14" customWidth="1"/>
    <col min="5" max="5" width="60" customWidth="1"/>
  </cols>
  <sheetData>
    <row r="1" spans="1:5" ht="25.5" customHeight="1" x14ac:dyDescent="0.5">
      <c r="A1" s="60" t="s">
        <v>129</v>
      </c>
      <c r="B1" s="57"/>
      <c r="C1" s="57"/>
      <c r="D1" s="57"/>
      <c r="E1" s="57"/>
    </row>
    <row r="2" spans="1:5" ht="25.5" customHeight="1" x14ac:dyDescent="0.5">
      <c r="A2" s="57"/>
      <c r="B2" s="57"/>
      <c r="C2" s="57"/>
      <c r="D2" s="57"/>
      <c r="E2" s="57"/>
    </row>
    <row r="4" spans="1:5" ht="57.75" customHeight="1" x14ac:dyDescent="0.5">
      <c r="A4" s="54" t="s">
        <v>130</v>
      </c>
      <c r="B4" s="55"/>
      <c r="C4" s="55"/>
      <c r="D4" s="55"/>
      <c r="E4" s="55"/>
    </row>
    <row r="6" spans="1:5" ht="21.75" customHeight="1" x14ac:dyDescent="0.5">
      <c r="A6" s="56" t="s">
        <v>131</v>
      </c>
      <c r="B6" s="57"/>
      <c r="C6" s="57"/>
      <c r="D6" s="57"/>
      <c r="E6" s="57"/>
    </row>
    <row r="7" spans="1:5" ht="31.5" customHeight="1" x14ac:dyDescent="0.5">
      <c r="A7" s="1" t="s">
        <v>132</v>
      </c>
      <c r="B7" s="2" t="s">
        <v>133</v>
      </c>
      <c r="C7" s="1" t="s">
        <v>134</v>
      </c>
      <c r="D7" s="1" t="s">
        <v>135</v>
      </c>
      <c r="E7" s="1" t="s">
        <v>118</v>
      </c>
    </row>
    <row r="8" spans="1:5" ht="72" customHeight="1" x14ac:dyDescent="0.5">
      <c r="A8" s="64" t="s">
        <v>136</v>
      </c>
      <c r="B8" s="61" t="s">
        <v>137</v>
      </c>
      <c r="C8" s="14" t="s">
        <v>138</v>
      </c>
      <c r="D8" s="10" t="s">
        <v>139</v>
      </c>
      <c r="E8" s="5" t="s">
        <v>140</v>
      </c>
    </row>
    <row r="9" spans="1:5" ht="72" customHeight="1" x14ac:dyDescent="0.5">
      <c r="A9" s="62"/>
      <c r="B9" s="62"/>
      <c r="C9" s="15" t="s">
        <v>141</v>
      </c>
      <c r="D9" s="11" t="s">
        <v>139</v>
      </c>
      <c r="E9" s="8" t="s">
        <v>142</v>
      </c>
    </row>
    <row r="10" spans="1:5" ht="72" customHeight="1" x14ac:dyDescent="0.5">
      <c r="A10" s="62"/>
      <c r="B10" s="62"/>
      <c r="C10" s="14" t="s">
        <v>143</v>
      </c>
      <c r="D10" s="10" t="s">
        <v>144</v>
      </c>
      <c r="E10" s="5" t="s">
        <v>145</v>
      </c>
    </row>
    <row r="11" spans="1:5" ht="72" customHeight="1" x14ac:dyDescent="0.5">
      <c r="A11" s="62"/>
      <c r="B11" s="62"/>
      <c r="C11" s="15" t="s">
        <v>146</v>
      </c>
      <c r="D11" s="11" t="s">
        <v>139</v>
      </c>
      <c r="E11" s="8" t="s">
        <v>147</v>
      </c>
    </row>
    <row r="12" spans="1:5" ht="90" customHeight="1" x14ac:dyDescent="0.5">
      <c r="A12" s="63"/>
      <c r="B12" s="63"/>
      <c r="C12" s="15" t="s">
        <v>148</v>
      </c>
      <c r="D12" s="11" t="s">
        <v>139</v>
      </c>
      <c r="E12" s="8" t="s">
        <v>149</v>
      </c>
    </row>
    <row r="13" spans="1:5" ht="72" customHeight="1" x14ac:dyDescent="0.5">
      <c r="A13" s="64" t="s">
        <v>150</v>
      </c>
      <c r="B13" s="61" t="s">
        <v>151</v>
      </c>
      <c r="C13" s="14" t="s">
        <v>152</v>
      </c>
      <c r="D13" s="10" t="s">
        <v>139</v>
      </c>
      <c r="E13" s="5" t="s">
        <v>153</v>
      </c>
    </row>
    <row r="14" spans="1:5" ht="72" customHeight="1" x14ac:dyDescent="0.5">
      <c r="A14" s="62"/>
      <c r="B14" s="62"/>
      <c r="C14" s="15" t="s">
        <v>154</v>
      </c>
      <c r="D14" s="11" t="s">
        <v>144</v>
      </c>
      <c r="E14" s="8" t="s">
        <v>155</v>
      </c>
    </row>
    <row r="15" spans="1:5" ht="72" customHeight="1" x14ac:dyDescent="0.5">
      <c r="A15" s="63"/>
      <c r="B15" s="63"/>
      <c r="C15" s="14" t="s">
        <v>156</v>
      </c>
      <c r="D15" s="10" t="s">
        <v>139</v>
      </c>
      <c r="E15" s="5" t="s">
        <v>157</v>
      </c>
    </row>
    <row r="16" spans="1:5" ht="72" customHeight="1" x14ac:dyDescent="0.5">
      <c r="A16" s="64" t="s">
        <v>158</v>
      </c>
      <c r="B16" s="61" t="s">
        <v>159</v>
      </c>
      <c r="C16" s="15" t="s">
        <v>160</v>
      </c>
      <c r="D16" s="11" t="s">
        <v>139</v>
      </c>
      <c r="E16" s="8" t="s">
        <v>161</v>
      </c>
    </row>
    <row r="17" spans="1:5" ht="72" customHeight="1" x14ac:dyDescent="0.5">
      <c r="A17" s="62"/>
      <c r="B17" s="62"/>
      <c r="C17" s="14" t="s">
        <v>162</v>
      </c>
      <c r="D17" s="10" t="s">
        <v>144</v>
      </c>
      <c r="E17" s="5" t="s">
        <v>163</v>
      </c>
    </row>
    <row r="18" spans="1:5" ht="72" customHeight="1" x14ac:dyDescent="0.5">
      <c r="A18" s="62"/>
      <c r="B18" s="62"/>
      <c r="C18" s="15" t="s">
        <v>164</v>
      </c>
      <c r="D18" s="11" t="s">
        <v>139</v>
      </c>
      <c r="E18" s="8" t="s">
        <v>165</v>
      </c>
    </row>
    <row r="19" spans="1:5" ht="45.75" customHeight="1" x14ac:dyDescent="0.5">
      <c r="A19" s="63"/>
      <c r="B19" s="63"/>
      <c r="C19" s="14" t="s">
        <v>166</v>
      </c>
      <c r="D19" s="10" t="s">
        <v>139</v>
      </c>
      <c r="E19" s="5" t="s">
        <v>167</v>
      </c>
    </row>
  </sheetData>
  <mergeCells count="9">
    <mergeCell ref="B16:B19"/>
    <mergeCell ref="A13:A15"/>
    <mergeCell ref="A16:A19"/>
    <mergeCell ref="A4:E4"/>
    <mergeCell ref="B8:B12"/>
    <mergeCell ref="A8:A12"/>
    <mergeCell ref="B13:B15"/>
    <mergeCell ref="A1:E2"/>
    <mergeCell ref="A6:E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
  <sheetViews>
    <sheetView showGridLines="0" zoomScaleNormal="100" workbookViewId="0">
      <pane ySplit="7" topLeftCell="A15" activePane="bottomLeft" state="frozen"/>
      <selection pane="bottomLeft" activeCell="C25" sqref="C25"/>
    </sheetView>
  </sheetViews>
  <sheetFormatPr baseColWidth="10" defaultColWidth="8.703125" defaultRowHeight="14.35" x14ac:dyDescent="0.5"/>
  <cols>
    <col min="1" max="1" width="8" customWidth="1"/>
    <col min="2" max="2" width="32" customWidth="1"/>
    <col min="3" max="3" width="60" customWidth="1"/>
    <col min="4" max="5" width="18" customWidth="1"/>
    <col min="6" max="6" width="16" customWidth="1"/>
  </cols>
  <sheetData>
    <row r="1" spans="1:6" ht="25.5" customHeight="1" x14ac:dyDescent="0.5">
      <c r="A1" s="60" t="s">
        <v>168</v>
      </c>
      <c r="B1" s="57"/>
      <c r="C1" s="57"/>
      <c r="D1" s="57"/>
      <c r="E1" s="57"/>
      <c r="F1" s="57"/>
    </row>
    <row r="2" spans="1:6" ht="25.5" customHeight="1" x14ac:dyDescent="0.5">
      <c r="A2" s="57"/>
      <c r="B2" s="57"/>
      <c r="C2" s="57"/>
      <c r="D2" s="57"/>
      <c r="E2" s="57"/>
      <c r="F2" s="57"/>
    </row>
    <row r="4" spans="1:6" ht="57.75" customHeight="1" x14ac:dyDescent="0.5">
      <c r="A4" s="54" t="s">
        <v>169</v>
      </c>
      <c r="B4" s="55"/>
      <c r="C4" s="55"/>
      <c r="D4" s="55"/>
      <c r="E4" s="55"/>
      <c r="F4" s="55"/>
    </row>
    <row r="6" spans="1:6" ht="21.75" customHeight="1" x14ac:dyDescent="0.5">
      <c r="A6" s="56" t="s">
        <v>170</v>
      </c>
      <c r="B6" s="57"/>
      <c r="C6" s="57"/>
      <c r="D6" s="57"/>
      <c r="E6" s="57"/>
      <c r="F6" s="57"/>
    </row>
    <row r="7" spans="1:6" ht="31.5" customHeight="1" x14ac:dyDescent="0.5">
      <c r="A7" s="1" t="s">
        <v>171</v>
      </c>
      <c r="B7" s="1" t="s">
        <v>172</v>
      </c>
      <c r="C7" s="1" t="s">
        <v>118</v>
      </c>
      <c r="D7" s="1" t="s">
        <v>173</v>
      </c>
      <c r="E7" s="1" t="s">
        <v>174</v>
      </c>
      <c r="F7" s="1" t="s">
        <v>175</v>
      </c>
    </row>
    <row r="8" spans="1:6" ht="72" customHeight="1" x14ac:dyDescent="0.5">
      <c r="A8" s="3" t="s">
        <v>176</v>
      </c>
      <c r="B8" s="5" t="s">
        <v>177</v>
      </c>
      <c r="C8" s="5" t="s">
        <v>178</v>
      </c>
      <c r="D8" s="5" t="s">
        <v>179</v>
      </c>
      <c r="E8" s="5" t="s">
        <v>180</v>
      </c>
      <c r="F8" s="10" t="s">
        <v>181</v>
      </c>
    </row>
    <row r="9" spans="1:6" ht="72" customHeight="1" x14ac:dyDescent="0.5">
      <c r="A9" s="7" t="s">
        <v>182</v>
      </c>
      <c r="B9" s="8" t="s">
        <v>183</v>
      </c>
      <c r="C9" s="8" t="s">
        <v>184</v>
      </c>
      <c r="D9" s="8" t="s">
        <v>185</v>
      </c>
      <c r="E9" s="8" t="s">
        <v>180</v>
      </c>
      <c r="F9" s="11" t="s">
        <v>181</v>
      </c>
    </row>
    <row r="10" spans="1:6" ht="72" customHeight="1" x14ac:dyDescent="0.5">
      <c r="A10" s="3" t="s">
        <v>186</v>
      </c>
      <c r="B10" s="5" t="s">
        <v>187</v>
      </c>
      <c r="C10" s="5" t="s">
        <v>188</v>
      </c>
      <c r="D10" s="5" t="s">
        <v>189</v>
      </c>
      <c r="E10" s="5" t="s">
        <v>180</v>
      </c>
      <c r="F10" s="10" t="s">
        <v>181</v>
      </c>
    </row>
    <row r="11" spans="1:6" ht="72" customHeight="1" x14ac:dyDescent="0.5">
      <c r="A11" s="7" t="s">
        <v>190</v>
      </c>
      <c r="B11" s="8" t="s">
        <v>191</v>
      </c>
      <c r="C11" s="8" t="s">
        <v>192</v>
      </c>
      <c r="D11" s="8" t="s">
        <v>193</v>
      </c>
      <c r="E11" s="8" t="s">
        <v>180</v>
      </c>
      <c r="F11" s="11" t="s">
        <v>181</v>
      </c>
    </row>
    <row r="12" spans="1:6" ht="72" customHeight="1" x14ac:dyDescent="0.5">
      <c r="A12" s="3" t="s">
        <v>194</v>
      </c>
      <c r="B12" s="5" t="s">
        <v>195</v>
      </c>
      <c r="C12" s="5" t="s">
        <v>196</v>
      </c>
      <c r="D12" s="5" t="s">
        <v>197</v>
      </c>
      <c r="E12" s="5" t="s">
        <v>198</v>
      </c>
      <c r="F12" s="10" t="s">
        <v>181</v>
      </c>
    </row>
    <row r="13" spans="1:6" ht="72" customHeight="1" x14ac:dyDescent="0.5">
      <c r="A13" s="7" t="s">
        <v>199</v>
      </c>
      <c r="B13" s="8" t="s">
        <v>200</v>
      </c>
      <c r="C13" s="8" t="s">
        <v>201</v>
      </c>
      <c r="D13" s="8" t="s">
        <v>202</v>
      </c>
      <c r="E13" s="8" t="s">
        <v>180</v>
      </c>
      <c r="F13" s="11" t="s">
        <v>181</v>
      </c>
    </row>
    <row r="14" spans="1:6" ht="72" customHeight="1" x14ac:dyDescent="0.5">
      <c r="A14" s="3" t="s">
        <v>203</v>
      </c>
      <c r="B14" s="5" t="s">
        <v>204</v>
      </c>
      <c r="C14" s="5" t="s">
        <v>205</v>
      </c>
      <c r="D14" s="5" t="s">
        <v>206</v>
      </c>
      <c r="E14" s="5" t="s">
        <v>180</v>
      </c>
      <c r="F14" s="10" t="s">
        <v>181</v>
      </c>
    </row>
    <row r="15" spans="1:6" ht="72" customHeight="1" x14ac:dyDescent="0.5">
      <c r="A15" s="7" t="s">
        <v>207</v>
      </c>
      <c r="B15" s="8" t="s">
        <v>208</v>
      </c>
      <c r="C15" s="8" t="s">
        <v>209</v>
      </c>
      <c r="D15" s="8" t="s">
        <v>210</v>
      </c>
      <c r="E15" s="8" t="s">
        <v>211</v>
      </c>
      <c r="F15" s="11" t="s">
        <v>181</v>
      </c>
    </row>
    <row r="16" spans="1:6" ht="72" customHeight="1" x14ac:dyDescent="0.5">
      <c r="A16" s="3" t="s">
        <v>212</v>
      </c>
      <c r="B16" s="5" t="s">
        <v>213</v>
      </c>
      <c r="C16" s="5" t="s">
        <v>214</v>
      </c>
      <c r="D16" s="5" t="s">
        <v>215</v>
      </c>
      <c r="E16" s="5" t="s">
        <v>216</v>
      </c>
      <c r="F16" s="10" t="s">
        <v>181</v>
      </c>
    </row>
    <row r="17" spans="1:6" ht="72" customHeight="1" x14ac:dyDescent="0.5">
      <c r="A17" s="7" t="s">
        <v>217</v>
      </c>
      <c r="B17" s="8" t="s">
        <v>218</v>
      </c>
      <c r="C17" s="8" t="s">
        <v>219</v>
      </c>
      <c r="D17" s="8" t="s">
        <v>220</v>
      </c>
      <c r="E17" s="8" t="s">
        <v>221</v>
      </c>
      <c r="F17" s="11" t="s">
        <v>181</v>
      </c>
    </row>
    <row r="18" spans="1:6" ht="72" customHeight="1" x14ac:dyDescent="0.5">
      <c r="A18" s="3" t="s">
        <v>222</v>
      </c>
      <c r="B18" s="5" t="s">
        <v>223</v>
      </c>
      <c r="C18" s="5" t="s">
        <v>224</v>
      </c>
      <c r="D18" s="5" t="s">
        <v>193</v>
      </c>
      <c r="E18" s="5" t="s">
        <v>180</v>
      </c>
      <c r="F18" s="10" t="s">
        <v>181</v>
      </c>
    </row>
    <row r="19" spans="1:6" ht="72" customHeight="1" x14ac:dyDescent="0.5">
      <c r="A19" s="7" t="s">
        <v>225</v>
      </c>
      <c r="B19" s="8" t="s">
        <v>226</v>
      </c>
      <c r="C19" s="8" t="s">
        <v>227</v>
      </c>
      <c r="D19" s="8" t="s">
        <v>228</v>
      </c>
      <c r="E19" s="8" t="s">
        <v>180</v>
      </c>
      <c r="F19" s="11" t="s">
        <v>181</v>
      </c>
    </row>
    <row r="20" spans="1:6" ht="72" customHeight="1" x14ac:dyDescent="0.5">
      <c r="A20" s="3" t="s">
        <v>229</v>
      </c>
      <c r="B20" s="5" t="s">
        <v>230</v>
      </c>
      <c r="C20" s="5" t="s">
        <v>231</v>
      </c>
      <c r="D20" s="5" t="s">
        <v>193</v>
      </c>
      <c r="E20" s="5" t="s">
        <v>180</v>
      </c>
      <c r="F20" s="10" t="s">
        <v>181</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3"/>
  <sheetViews>
    <sheetView showGridLines="0" zoomScale="56" zoomScaleNormal="56" workbookViewId="0">
      <pane ySplit="7" topLeftCell="A11" activePane="bottomLeft" state="frozen"/>
      <selection pane="bottomLeft" activeCell="D7" sqref="D7"/>
    </sheetView>
  </sheetViews>
  <sheetFormatPr baseColWidth="10" defaultColWidth="8.703125" defaultRowHeight="14.35" x14ac:dyDescent="0.5"/>
  <cols>
    <col min="1" max="1" width="8" customWidth="1"/>
    <col min="2" max="2" width="20" customWidth="1"/>
    <col min="3" max="5" width="32" customWidth="1"/>
    <col min="6" max="6" width="22" customWidth="1"/>
    <col min="7" max="7" width="32" customWidth="1"/>
  </cols>
  <sheetData>
    <row r="1" spans="1:7" ht="25.5" customHeight="1" x14ac:dyDescent="0.5">
      <c r="A1" s="58" t="s">
        <v>0</v>
      </c>
      <c r="B1" s="57"/>
      <c r="C1" s="57"/>
      <c r="D1" s="57"/>
      <c r="E1" s="57"/>
      <c r="F1" s="57"/>
      <c r="G1" s="57"/>
    </row>
    <row r="2" spans="1:7" ht="25.5" customHeight="1" x14ac:dyDescent="0.5">
      <c r="A2" s="57"/>
      <c r="B2" s="57"/>
      <c r="C2" s="57"/>
      <c r="D2" s="57"/>
      <c r="E2" s="57"/>
      <c r="F2" s="57"/>
      <c r="G2" s="57"/>
    </row>
    <row r="4" spans="1:7" ht="72" customHeight="1" x14ac:dyDescent="0.5">
      <c r="A4" s="54" t="s">
        <v>1</v>
      </c>
      <c r="B4" s="55"/>
      <c r="C4" s="55"/>
      <c r="D4" s="55"/>
      <c r="E4" s="55"/>
      <c r="F4" s="55"/>
      <c r="G4" s="55"/>
    </row>
    <row r="6" spans="1:7" ht="21.75" customHeight="1" x14ac:dyDescent="0.5">
      <c r="A6" s="56" t="s">
        <v>2</v>
      </c>
      <c r="B6" s="57"/>
      <c r="C6" s="57"/>
      <c r="D6" s="57"/>
      <c r="E6" s="57"/>
      <c r="F6" s="57"/>
      <c r="G6" s="57"/>
    </row>
    <row r="7" spans="1:7" ht="36" customHeight="1" x14ac:dyDescent="0.5">
      <c r="A7" s="1" t="s">
        <v>3</v>
      </c>
      <c r="B7" s="1" t="s">
        <v>4</v>
      </c>
      <c r="C7" s="1" t="s">
        <v>5</v>
      </c>
      <c r="D7" s="1" t="s">
        <v>6</v>
      </c>
      <c r="E7" s="1" t="s">
        <v>7</v>
      </c>
      <c r="F7" s="1" t="s">
        <v>8</v>
      </c>
      <c r="G7" s="1" t="s">
        <v>9</v>
      </c>
    </row>
    <row r="8" spans="1:7" ht="96" customHeight="1" x14ac:dyDescent="0.5">
      <c r="A8" s="16" t="s">
        <v>10</v>
      </c>
      <c r="B8" s="17" t="s">
        <v>11</v>
      </c>
      <c r="C8" s="18" t="s">
        <v>12</v>
      </c>
      <c r="D8" s="18" t="s">
        <v>13</v>
      </c>
      <c r="E8" s="18" t="s">
        <v>14</v>
      </c>
      <c r="F8" s="18" t="s">
        <v>15</v>
      </c>
      <c r="G8" s="18" t="s">
        <v>16</v>
      </c>
    </row>
    <row r="9" spans="1:7" ht="96" customHeight="1" x14ac:dyDescent="0.5">
      <c r="A9" s="19" t="s">
        <v>17</v>
      </c>
      <c r="B9" s="20" t="s">
        <v>18</v>
      </c>
      <c r="C9" s="21" t="s">
        <v>19</v>
      </c>
      <c r="D9" s="21" t="s">
        <v>20</v>
      </c>
      <c r="E9" s="21" t="s">
        <v>21</v>
      </c>
      <c r="F9" s="21" t="s">
        <v>22</v>
      </c>
      <c r="G9" s="21" t="s">
        <v>23</v>
      </c>
    </row>
    <row r="10" spans="1:7" ht="96" customHeight="1" x14ac:dyDescent="0.5">
      <c r="A10" s="22" t="s">
        <v>24</v>
      </c>
      <c r="B10" s="23" t="s">
        <v>25</v>
      </c>
      <c r="C10" s="24" t="s">
        <v>26</v>
      </c>
      <c r="D10" s="24" t="s">
        <v>27</v>
      </c>
      <c r="E10" s="24" t="s">
        <v>28</v>
      </c>
      <c r="F10" s="24" t="s">
        <v>29</v>
      </c>
      <c r="G10" s="24" t="s">
        <v>30</v>
      </c>
    </row>
    <row r="11" spans="1:7" ht="96" customHeight="1" x14ac:dyDescent="0.5">
      <c r="A11" s="25" t="s">
        <v>31</v>
      </c>
      <c r="B11" s="26" t="s">
        <v>32</v>
      </c>
      <c r="C11" s="27" t="s">
        <v>33</v>
      </c>
      <c r="D11" s="27" t="s">
        <v>34</v>
      </c>
      <c r="E11" s="27" t="s">
        <v>35</v>
      </c>
      <c r="F11" s="27" t="s">
        <v>36</v>
      </c>
      <c r="G11" s="27" t="s">
        <v>37</v>
      </c>
    </row>
    <row r="13" spans="1:7" ht="57.75" customHeight="1" x14ac:dyDescent="0.5">
      <c r="A13" s="54" t="s">
        <v>38</v>
      </c>
      <c r="B13" s="55"/>
      <c r="C13" s="55"/>
      <c r="D13" s="55"/>
      <c r="E13" s="55"/>
      <c r="F13" s="55"/>
      <c r="G13" s="55"/>
    </row>
  </sheetData>
  <mergeCells count="4">
    <mergeCell ref="A13:G13"/>
    <mergeCell ref="A6:G6"/>
    <mergeCell ref="A1:G2"/>
    <mergeCell ref="A4:G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28" customWidth="1"/>
    <col min="2" max="2" width="9" customWidth="1"/>
    <col min="3" max="3" width="45" customWidth="1"/>
    <col min="4" max="4" width="50" customWidth="1"/>
    <col min="5" max="5" width="14" customWidth="1"/>
    <col min="6" max="8" width="10" customWidth="1"/>
  </cols>
  <sheetData>
    <row r="1" spans="1:8" ht="25.5" customHeight="1" x14ac:dyDescent="0.5">
      <c r="A1" s="58" t="s">
        <v>232</v>
      </c>
      <c r="B1" s="57"/>
      <c r="C1" s="57"/>
      <c r="D1" s="57"/>
      <c r="E1" s="57"/>
      <c r="F1" s="28"/>
      <c r="G1" s="28"/>
      <c r="H1" s="28"/>
    </row>
    <row r="2" spans="1:8" ht="25.5" customHeight="1" x14ac:dyDescent="0.5">
      <c r="A2" s="57"/>
      <c r="B2" s="57"/>
      <c r="C2" s="57"/>
      <c r="D2" s="57"/>
      <c r="E2" s="57"/>
      <c r="F2" s="28"/>
      <c r="G2" s="28"/>
      <c r="H2" s="28"/>
    </row>
    <row r="3" spans="1:8" ht="14.25" customHeight="1" x14ac:dyDescent="0.5">
      <c r="A3" s="28"/>
      <c r="B3" s="28"/>
      <c r="C3" s="28"/>
      <c r="D3" s="28"/>
      <c r="E3" s="28"/>
      <c r="F3" s="28"/>
      <c r="G3" s="28"/>
      <c r="H3" s="28"/>
    </row>
    <row r="4" spans="1:8" ht="78" customHeight="1" x14ac:dyDescent="0.5">
      <c r="A4" s="54" t="s">
        <v>233</v>
      </c>
      <c r="B4" s="55"/>
      <c r="C4" s="55"/>
      <c r="D4" s="55"/>
      <c r="E4" s="55"/>
      <c r="F4" s="28"/>
      <c r="G4" s="28"/>
      <c r="H4" s="28"/>
    </row>
    <row r="5" spans="1:8" ht="14.25" customHeight="1" x14ac:dyDescent="0.5">
      <c r="A5" s="28"/>
      <c r="B5" s="28"/>
      <c r="C5" s="28"/>
      <c r="D5" s="28"/>
      <c r="E5" s="28"/>
      <c r="F5" s="28"/>
      <c r="G5" s="28"/>
      <c r="H5" s="28"/>
    </row>
    <row r="6" spans="1:8" ht="21.75" customHeight="1" x14ac:dyDescent="0.5">
      <c r="A6" s="66" t="s">
        <v>234</v>
      </c>
      <c r="B6" s="57"/>
      <c r="C6" s="57"/>
      <c r="D6" s="57"/>
      <c r="E6" s="57"/>
      <c r="F6" s="28"/>
      <c r="G6" s="28"/>
      <c r="H6" s="28"/>
    </row>
    <row r="7" spans="1:8" ht="31.5" customHeight="1" x14ac:dyDescent="0.5">
      <c r="A7" s="1" t="s">
        <v>134</v>
      </c>
      <c r="B7" s="1" t="s">
        <v>235</v>
      </c>
      <c r="C7" s="1" t="s">
        <v>236</v>
      </c>
      <c r="D7" s="1" t="s">
        <v>237</v>
      </c>
      <c r="E7" s="1" t="s">
        <v>238</v>
      </c>
      <c r="F7" s="28"/>
      <c r="G7" s="28"/>
      <c r="H7" s="28"/>
    </row>
    <row r="8" spans="1:8" ht="73.5" customHeight="1" x14ac:dyDescent="0.5">
      <c r="A8" s="29" t="s">
        <v>239</v>
      </c>
      <c r="B8" s="3" t="s">
        <v>240</v>
      </c>
      <c r="C8" s="5" t="s">
        <v>241</v>
      </c>
      <c r="D8" s="5" t="s">
        <v>242</v>
      </c>
      <c r="E8" s="19" t="s">
        <v>17</v>
      </c>
      <c r="F8" s="28"/>
      <c r="G8" s="28"/>
      <c r="H8" s="28"/>
    </row>
    <row r="9" spans="1:8" ht="55.5" customHeight="1" x14ac:dyDescent="0.5">
      <c r="A9" s="65" t="s">
        <v>243</v>
      </c>
      <c r="B9" s="31" t="s">
        <v>244</v>
      </c>
      <c r="C9" s="32" t="s">
        <v>245</v>
      </c>
      <c r="D9" s="32" t="s">
        <v>246</v>
      </c>
      <c r="E9" s="19" t="s">
        <v>17</v>
      </c>
      <c r="F9" s="28"/>
      <c r="G9" s="28"/>
      <c r="H9" s="28"/>
    </row>
    <row r="10" spans="1:8" ht="45" customHeight="1" x14ac:dyDescent="0.5">
      <c r="A10" s="63"/>
      <c r="B10" s="31" t="s">
        <v>247</v>
      </c>
      <c r="C10" s="32" t="s">
        <v>248</v>
      </c>
      <c r="D10" s="32" t="s">
        <v>249</v>
      </c>
      <c r="E10" s="22" t="s">
        <v>24</v>
      </c>
      <c r="F10" s="28"/>
      <c r="G10" s="28"/>
      <c r="H10" s="28"/>
    </row>
    <row r="11" spans="1:8" ht="73.5" customHeight="1" x14ac:dyDescent="0.5">
      <c r="A11" s="67" t="s">
        <v>250</v>
      </c>
      <c r="B11" s="3" t="s">
        <v>251</v>
      </c>
      <c r="C11" s="5" t="s">
        <v>252</v>
      </c>
      <c r="D11" s="5" t="s">
        <v>253</v>
      </c>
      <c r="E11" s="19" t="s">
        <v>17</v>
      </c>
      <c r="F11" s="28"/>
      <c r="G11" s="28"/>
      <c r="H11" s="28"/>
    </row>
    <row r="12" spans="1:8" ht="73.5" customHeight="1" x14ac:dyDescent="0.5">
      <c r="A12" s="63"/>
      <c r="B12" s="3" t="s">
        <v>254</v>
      </c>
      <c r="C12" s="5" t="s">
        <v>255</v>
      </c>
      <c r="D12" s="5" t="s">
        <v>256</v>
      </c>
      <c r="E12" s="19" t="s">
        <v>17</v>
      </c>
      <c r="F12" s="28"/>
      <c r="G12" s="28"/>
      <c r="H12" s="28"/>
    </row>
    <row r="13" spans="1:8" ht="91.5" customHeight="1" x14ac:dyDescent="0.5">
      <c r="A13" s="30" t="s">
        <v>257</v>
      </c>
      <c r="B13" s="31" t="s">
        <v>258</v>
      </c>
      <c r="C13" s="32" t="s">
        <v>259</v>
      </c>
      <c r="D13" s="32" t="s">
        <v>260</v>
      </c>
      <c r="E13" s="16" t="s">
        <v>10</v>
      </c>
      <c r="F13" s="28"/>
      <c r="G13" s="28"/>
      <c r="H13" s="28"/>
    </row>
    <row r="14" spans="1:8" ht="91.5" customHeight="1" x14ac:dyDescent="0.5">
      <c r="A14" s="29" t="s">
        <v>261</v>
      </c>
      <c r="B14" s="3" t="s">
        <v>262</v>
      </c>
      <c r="C14" s="5" t="s">
        <v>263</v>
      </c>
      <c r="D14" s="5" t="s">
        <v>264</v>
      </c>
      <c r="E14" s="19" t="s">
        <v>17</v>
      </c>
      <c r="F14" s="28"/>
      <c r="G14" s="28"/>
      <c r="H14" s="28"/>
    </row>
    <row r="15" spans="1:8" ht="91.5" customHeight="1" x14ac:dyDescent="0.5">
      <c r="A15" s="65" t="s">
        <v>265</v>
      </c>
      <c r="B15" s="31" t="s">
        <v>266</v>
      </c>
      <c r="C15" s="32" t="s">
        <v>267</v>
      </c>
      <c r="D15" s="32" t="s">
        <v>268</v>
      </c>
      <c r="E15" s="16" t="s">
        <v>10</v>
      </c>
      <c r="F15" s="28"/>
      <c r="G15" s="28"/>
      <c r="H15" s="28"/>
    </row>
    <row r="16" spans="1:8" ht="55.5" customHeight="1" x14ac:dyDescent="0.5">
      <c r="A16" s="63"/>
      <c r="B16" s="31" t="s">
        <v>269</v>
      </c>
      <c r="C16" s="32" t="s">
        <v>270</v>
      </c>
      <c r="D16" s="32" t="s">
        <v>246</v>
      </c>
      <c r="E16" s="19" t="s">
        <v>17</v>
      </c>
      <c r="F16" s="28"/>
      <c r="G16" s="28"/>
      <c r="H16" s="28"/>
    </row>
    <row r="18" spans="1:5" ht="37.5" customHeight="1" x14ac:dyDescent="0.5">
      <c r="A18" s="54" t="s">
        <v>271</v>
      </c>
      <c r="B18" s="55"/>
      <c r="C18" s="55"/>
      <c r="D18" s="55"/>
      <c r="E18" s="55"/>
    </row>
  </sheetData>
  <mergeCells count="7">
    <mergeCell ref="A18:E18"/>
    <mergeCell ref="A11:A12"/>
    <mergeCell ref="A4:E4"/>
    <mergeCell ref="A9:A10"/>
    <mergeCell ref="A15:A16"/>
    <mergeCell ref="A1:E2"/>
    <mergeCell ref="A6:E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2" width="22" customWidth="1"/>
    <col min="3" max="3" width="24" customWidth="1"/>
    <col min="4" max="5" width="22" customWidth="1"/>
  </cols>
  <sheetData>
    <row r="1" spans="1:5" ht="25.5" customHeight="1" x14ac:dyDescent="0.5">
      <c r="A1" s="58" t="s">
        <v>272</v>
      </c>
      <c r="B1" s="57"/>
      <c r="C1" s="57"/>
      <c r="D1" s="57"/>
      <c r="E1" s="57"/>
    </row>
    <row r="2" spans="1:5" ht="25.5" customHeight="1" x14ac:dyDescent="0.5">
      <c r="A2" s="57"/>
      <c r="B2" s="57"/>
      <c r="C2" s="57"/>
      <c r="D2" s="57"/>
      <c r="E2" s="57"/>
    </row>
    <row r="4" spans="1:5" ht="84" customHeight="1" x14ac:dyDescent="0.5">
      <c r="A4" s="54" t="s">
        <v>273</v>
      </c>
      <c r="B4" s="55"/>
      <c r="C4" s="55"/>
      <c r="D4" s="55"/>
      <c r="E4" s="55"/>
    </row>
    <row r="6" spans="1:5" ht="21.75" customHeight="1" x14ac:dyDescent="0.5">
      <c r="A6" s="66" t="s">
        <v>274</v>
      </c>
      <c r="B6" s="57"/>
      <c r="C6" s="57"/>
      <c r="D6" s="57"/>
      <c r="E6" s="57"/>
    </row>
    <row r="8" spans="1:5" ht="27.75" customHeight="1" x14ac:dyDescent="0.5">
      <c r="B8" s="73" t="s">
        <v>275</v>
      </c>
      <c r="C8" s="55"/>
      <c r="D8" s="55"/>
      <c r="E8" s="55"/>
    </row>
    <row r="9" spans="1:5" ht="36" customHeight="1" x14ac:dyDescent="0.5">
      <c r="A9" s="33" t="s">
        <v>276</v>
      </c>
      <c r="B9" s="13" t="s">
        <v>277</v>
      </c>
      <c r="C9" s="13" t="s">
        <v>278</v>
      </c>
      <c r="D9" s="13" t="s">
        <v>279</v>
      </c>
      <c r="E9" s="13" t="s">
        <v>280</v>
      </c>
    </row>
    <row r="10" spans="1:5" ht="36" customHeight="1" x14ac:dyDescent="0.5">
      <c r="A10" s="13" t="s">
        <v>281</v>
      </c>
      <c r="B10" s="22" t="s">
        <v>282</v>
      </c>
      <c r="C10" s="19" t="s">
        <v>283</v>
      </c>
      <c r="D10" s="16" t="s">
        <v>284</v>
      </c>
      <c r="E10" s="16" t="s">
        <v>284</v>
      </c>
    </row>
    <row r="11" spans="1:5" ht="36" customHeight="1" x14ac:dyDescent="0.5">
      <c r="A11" s="13" t="s">
        <v>285</v>
      </c>
      <c r="B11" s="22" t="s">
        <v>282</v>
      </c>
      <c r="C11" s="19" t="s">
        <v>283</v>
      </c>
      <c r="D11" s="19" t="s">
        <v>283</v>
      </c>
      <c r="E11" s="16" t="s">
        <v>284</v>
      </c>
    </row>
    <row r="12" spans="1:5" ht="36" customHeight="1" x14ac:dyDescent="0.5">
      <c r="A12" s="13" t="s">
        <v>286</v>
      </c>
      <c r="B12" s="25" t="s">
        <v>287</v>
      </c>
      <c r="C12" s="22" t="s">
        <v>282</v>
      </c>
      <c r="D12" s="19" t="s">
        <v>283</v>
      </c>
      <c r="E12" s="19" t="s">
        <v>283</v>
      </c>
    </row>
    <row r="13" spans="1:5" ht="36" customHeight="1" x14ac:dyDescent="0.5">
      <c r="A13" s="13" t="s">
        <v>288</v>
      </c>
      <c r="B13" s="25" t="s">
        <v>287</v>
      </c>
      <c r="C13" s="25" t="s">
        <v>287</v>
      </c>
      <c r="D13" s="22" t="s">
        <v>282</v>
      </c>
      <c r="E13" s="22" t="s">
        <v>282</v>
      </c>
    </row>
    <row r="15" spans="1:5" ht="21.75" customHeight="1" x14ac:dyDescent="0.5">
      <c r="A15" s="66" t="s">
        <v>289</v>
      </c>
      <c r="B15" s="57"/>
      <c r="C15" s="57"/>
      <c r="D15" s="57"/>
      <c r="E15" s="57"/>
    </row>
    <row r="16" spans="1:5" ht="25.5" customHeight="1" x14ac:dyDescent="0.5">
      <c r="A16" s="1" t="s">
        <v>3</v>
      </c>
      <c r="B16" s="71" t="s">
        <v>290</v>
      </c>
      <c r="C16" s="55"/>
      <c r="D16" s="55"/>
      <c r="E16" s="72"/>
    </row>
    <row r="17" spans="1:5" ht="42" customHeight="1" x14ac:dyDescent="0.5">
      <c r="A17" s="3" t="s">
        <v>281</v>
      </c>
      <c r="B17" s="69" t="s">
        <v>291</v>
      </c>
      <c r="C17" s="55"/>
      <c r="D17" s="55"/>
      <c r="E17" s="55"/>
    </row>
    <row r="18" spans="1:5" ht="42" customHeight="1" x14ac:dyDescent="0.5">
      <c r="A18" s="3" t="s">
        <v>285</v>
      </c>
      <c r="B18" s="70" t="s">
        <v>292</v>
      </c>
      <c r="C18" s="55"/>
      <c r="D18" s="55"/>
      <c r="E18" s="55"/>
    </row>
    <row r="19" spans="1:5" ht="42" customHeight="1" x14ac:dyDescent="0.5">
      <c r="A19" s="3" t="s">
        <v>286</v>
      </c>
      <c r="B19" s="69" t="s">
        <v>293</v>
      </c>
      <c r="C19" s="55"/>
      <c r="D19" s="55"/>
      <c r="E19" s="55"/>
    </row>
    <row r="20" spans="1:5" ht="42" customHeight="1" x14ac:dyDescent="0.5">
      <c r="A20" s="3" t="s">
        <v>288</v>
      </c>
      <c r="B20" s="70" t="s">
        <v>294</v>
      </c>
      <c r="C20" s="55"/>
      <c r="D20" s="55"/>
      <c r="E20" s="55"/>
    </row>
    <row r="22" spans="1:5" ht="21.75" customHeight="1" x14ac:dyDescent="0.5">
      <c r="A22" s="66" t="s">
        <v>295</v>
      </c>
      <c r="B22" s="57"/>
      <c r="C22" s="57"/>
      <c r="D22" s="57"/>
      <c r="E22" s="57"/>
    </row>
    <row r="23" spans="1:5" ht="25.5" customHeight="1" x14ac:dyDescent="0.5">
      <c r="A23" s="1" t="s">
        <v>3</v>
      </c>
      <c r="B23" s="71" t="s">
        <v>290</v>
      </c>
      <c r="C23" s="55"/>
      <c r="D23" s="55"/>
      <c r="E23" s="72"/>
    </row>
    <row r="24" spans="1:5" ht="48" customHeight="1" x14ac:dyDescent="0.5">
      <c r="A24" s="3" t="s">
        <v>277</v>
      </c>
      <c r="B24" s="69" t="s">
        <v>296</v>
      </c>
      <c r="C24" s="55"/>
      <c r="D24" s="55"/>
      <c r="E24" s="55"/>
    </row>
    <row r="25" spans="1:5" ht="48" customHeight="1" x14ac:dyDescent="0.5">
      <c r="A25" s="3" t="s">
        <v>278</v>
      </c>
      <c r="B25" s="70" t="s">
        <v>297</v>
      </c>
      <c r="C25" s="55"/>
      <c r="D25" s="55"/>
      <c r="E25" s="55"/>
    </row>
    <row r="26" spans="1:5" ht="48" customHeight="1" x14ac:dyDescent="0.5">
      <c r="A26" s="3" t="s">
        <v>279</v>
      </c>
      <c r="B26" s="69" t="s">
        <v>298</v>
      </c>
      <c r="C26" s="55"/>
      <c r="D26" s="55"/>
      <c r="E26" s="55"/>
    </row>
    <row r="27" spans="1:5" ht="48" customHeight="1" x14ac:dyDescent="0.5">
      <c r="A27" s="3" t="s">
        <v>280</v>
      </c>
      <c r="B27" s="70" t="s">
        <v>299</v>
      </c>
      <c r="C27" s="55"/>
      <c r="D27" s="55"/>
      <c r="E27" s="55"/>
    </row>
    <row r="29" spans="1:5" ht="21.75" customHeight="1" x14ac:dyDescent="0.5">
      <c r="A29" s="66" t="s">
        <v>300</v>
      </c>
      <c r="B29" s="57"/>
      <c r="C29" s="57"/>
      <c r="D29" s="57"/>
      <c r="E29" s="57"/>
    </row>
    <row r="30" spans="1:5" ht="25.5" customHeight="1" x14ac:dyDescent="0.5">
      <c r="A30" s="1" t="s">
        <v>301</v>
      </c>
      <c r="B30" s="71" t="s">
        <v>302</v>
      </c>
      <c r="C30" s="72"/>
      <c r="D30" s="71" t="s">
        <v>303</v>
      </c>
      <c r="E30" s="72"/>
    </row>
    <row r="31" spans="1:5" ht="37.5" customHeight="1" x14ac:dyDescent="0.5">
      <c r="A31" s="25" t="s">
        <v>287</v>
      </c>
      <c r="B31" s="69" t="s">
        <v>304</v>
      </c>
      <c r="C31" s="55"/>
      <c r="D31" s="68" t="s">
        <v>305</v>
      </c>
      <c r="E31" s="55"/>
    </row>
    <row r="32" spans="1:5" ht="37.5" customHeight="1" x14ac:dyDescent="0.5">
      <c r="A32" s="22" t="s">
        <v>282</v>
      </c>
      <c r="B32" s="69" t="s">
        <v>306</v>
      </c>
      <c r="C32" s="55"/>
      <c r="D32" s="68" t="s">
        <v>307</v>
      </c>
      <c r="E32" s="55"/>
    </row>
    <row r="33" spans="1:5" ht="37.5" customHeight="1" x14ac:dyDescent="0.5">
      <c r="A33" s="19" t="s">
        <v>283</v>
      </c>
      <c r="B33" s="69" t="s">
        <v>308</v>
      </c>
      <c r="C33" s="55"/>
      <c r="D33" s="68" t="s">
        <v>309</v>
      </c>
      <c r="E33" s="55"/>
    </row>
    <row r="34" spans="1:5" ht="37.5" customHeight="1" x14ac:dyDescent="0.5">
      <c r="A34" s="16" t="s">
        <v>284</v>
      </c>
      <c r="B34" s="69" t="s">
        <v>310</v>
      </c>
      <c r="C34" s="55"/>
      <c r="D34" s="68" t="s">
        <v>309</v>
      </c>
      <c r="E34" s="55"/>
    </row>
  </sheetData>
  <mergeCells count="27">
    <mergeCell ref="A1:E2"/>
    <mergeCell ref="A22:E22"/>
    <mergeCell ref="B17:E17"/>
    <mergeCell ref="B23:E23"/>
    <mergeCell ref="A4:E4"/>
    <mergeCell ref="B8:E8"/>
    <mergeCell ref="B19:E19"/>
    <mergeCell ref="A6:E6"/>
    <mergeCell ref="B26:E26"/>
    <mergeCell ref="B16:E16"/>
    <mergeCell ref="B25:E25"/>
    <mergeCell ref="D32:E32"/>
    <mergeCell ref="B18:E18"/>
    <mergeCell ref="B27:E27"/>
    <mergeCell ref="A29:E29"/>
    <mergeCell ref="B30:C30"/>
    <mergeCell ref="D30:E30"/>
    <mergeCell ref="B32:C32"/>
    <mergeCell ref="A15:E15"/>
    <mergeCell ref="D34:E34"/>
    <mergeCell ref="B24:E24"/>
    <mergeCell ref="B31:C31"/>
    <mergeCell ref="B20:E20"/>
    <mergeCell ref="D31:E31"/>
    <mergeCell ref="B34:C34"/>
    <mergeCell ref="B33:C33"/>
    <mergeCell ref="D33:E3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8" customWidth="1"/>
    <col min="2" max="2" width="32" customWidth="1"/>
    <col min="3" max="3" width="14" customWidth="1"/>
    <col min="4" max="4" width="60" customWidth="1"/>
    <col min="5" max="5" width="22" customWidth="1"/>
  </cols>
  <sheetData>
    <row r="1" spans="1:5" ht="25.5" customHeight="1" x14ac:dyDescent="0.5">
      <c r="A1" s="58" t="s">
        <v>311</v>
      </c>
      <c r="B1" s="57"/>
      <c r="C1" s="57"/>
      <c r="D1" s="57"/>
      <c r="E1" s="57"/>
    </row>
    <row r="2" spans="1:5" ht="25.5" customHeight="1" x14ac:dyDescent="0.5">
      <c r="A2" s="57"/>
      <c r="B2" s="57"/>
      <c r="C2" s="57"/>
      <c r="D2" s="57"/>
      <c r="E2" s="57"/>
    </row>
    <row r="4" spans="1:5" ht="90" customHeight="1" x14ac:dyDescent="0.5">
      <c r="A4" s="54" t="s">
        <v>312</v>
      </c>
      <c r="B4" s="55"/>
      <c r="C4" s="55"/>
      <c r="D4" s="55"/>
      <c r="E4" s="55"/>
    </row>
    <row r="6" spans="1:5" ht="21.75" customHeight="1" x14ac:dyDescent="0.5">
      <c r="A6" s="66" t="s">
        <v>313</v>
      </c>
      <c r="B6" s="57"/>
      <c r="C6" s="57"/>
      <c r="D6" s="57"/>
      <c r="E6" s="57"/>
    </row>
    <row r="7" spans="1:5" ht="31.5" customHeight="1" x14ac:dyDescent="0.5">
      <c r="A7" s="1" t="s">
        <v>314</v>
      </c>
      <c r="B7" s="1" t="s">
        <v>4</v>
      </c>
      <c r="C7" s="1" t="s">
        <v>315</v>
      </c>
      <c r="D7" s="1" t="s">
        <v>316</v>
      </c>
      <c r="E7" s="1" t="s">
        <v>317</v>
      </c>
    </row>
    <row r="8" spans="1:5" ht="99.75" customHeight="1" x14ac:dyDescent="0.5">
      <c r="A8" s="3" t="s">
        <v>318</v>
      </c>
      <c r="B8" s="34" t="s">
        <v>319</v>
      </c>
      <c r="C8" s="10" t="s">
        <v>181</v>
      </c>
      <c r="D8" s="5" t="s">
        <v>320</v>
      </c>
      <c r="E8" s="5" t="s">
        <v>321</v>
      </c>
    </row>
    <row r="9" spans="1:5" ht="99.75" customHeight="1" x14ac:dyDescent="0.5">
      <c r="A9" s="7" t="s">
        <v>322</v>
      </c>
      <c r="B9" s="35" t="s">
        <v>323</v>
      </c>
      <c r="C9" s="11" t="s">
        <v>324</v>
      </c>
      <c r="D9" s="8" t="s">
        <v>325</v>
      </c>
      <c r="E9" s="8" t="s">
        <v>326</v>
      </c>
    </row>
    <row r="10" spans="1:5" ht="99.75" customHeight="1" x14ac:dyDescent="0.5">
      <c r="A10" s="3" t="s">
        <v>327</v>
      </c>
      <c r="B10" s="34" t="s">
        <v>328</v>
      </c>
      <c r="C10" s="10" t="s">
        <v>324</v>
      </c>
      <c r="D10" s="5" t="s">
        <v>329</v>
      </c>
      <c r="E10" s="5" t="s">
        <v>330</v>
      </c>
    </row>
    <row r="11" spans="1:5" ht="99.75" customHeight="1" x14ac:dyDescent="0.5">
      <c r="A11" s="7" t="s">
        <v>331</v>
      </c>
      <c r="B11" s="35" t="s">
        <v>332</v>
      </c>
      <c r="C11" s="11" t="s">
        <v>324</v>
      </c>
      <c r="D11" s="8" t="s">
        <v>333</v>
      </c>
      <c r="E11" s="8" t="s">
        <v>334</v>
      </c>
    </row>
    <row r="12" spans="1:5" ht="99.75" customHeight="1" x14ac:dyDescent="0.5">
      <c r="A12" s="3" t="s">
        <v>335</v>
      </c>
      <c r="B12" s="34" t="s">
        <v>336</v>
      </c>
      <c r="C12" s="10" t="s">
        <v>337</v>
      </c>
      <c r="D12" s="5" t="s">
        <v>338</v>
      </c>
      <c r="E12" s="5" t="s">
        <v>339</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28" customWidth="1"/>
    <col min="3" max="3" width="38" customWidth="1"/>
    <col min="4" max="4" width="20" customWidth="1"/>
    <col min="5" max="6" width="24" customWidth="1"/>
    <col min="7" max="8" width="16" customWidth="1"/>
  </cols>
  <sheetData>
    <row r="1" spans="1:8" ht="25.5" customHeight="1" x14ac:dyDescent="0.5">
      <c r="A1" s="58" t="s">
        <v>340</v>
      </c>
      <c r="B1" s="57"/>
      <c r="C1" s="57"/>
      <c r="D1" s="57"/>
      <c r="E1" s="57"/>
      <c r="F1" s="57"/>
      <c r="G1" s="57"/>
      <c r="H1" s="57"/>
    </row>
    <row r="2" spans="1:8" ht="25.5" customHeight="1" x14ac:dyDescent="0.5">
      <c r="A2" s="57"/>
      <c r="B2" s="57"/>
      <c r="C2" s="57"/>
      <c r="D2" s="57"/>
      <c r="E2" s="57"/>
      <c r="F2" s="57"/>
      <c r="G2" s="57"/>
      <c r="H2" s="57"/>
    </row>
    <row r="4" spans="1:8" ht="90" customHeight="1" x14ac:dyDescent="0.5">
      <c r="A4" s="54" t="s">
        <v>341</v>
      </c>
      <c r="B4" s="55"/>
      <c r="C4" s="55"/>
      <c r="D4" s="55"/>
      <c r="E4" s="55"/>
      <c r="F4" s="55"/>
      <c r="G4" s="55"/>
      <c r="H4" s="55"/>
    </row>
    <row r="6" spans="1:8" ht="21.75" customHeight="1" x14ac:dyDescent="0.5">
      <c r="A6" s="66" t="s">
        <v>342</v>
      </c>
      <c r="B6" s="57"/>
      <c r="C6" s="57"/>
      <c r="D6" s="57"/>
      <c r="E6" s="57"/>
      <c r="F6" s="57"/>
      <c r="G6" s="57"/>
      <c r="H6" s="57"/>
    </row>
    <row r="7" spans="1:8" ht="36" customHeight="1" x14ac:dyDescent="0.5">
      <c r="A7" s="1" t="s">
        <v>343</v>
      </c>
      <c r="B7" s="1" t="s">
        <v>344</v>
      </c>
      <c r="C7" s="1" t="s">
        <v>345</v>
      </c>
      <c r="D7" s="1" t="s">
        <v>346</v>
      </c>
      <c r="E7" s="1" t="s">
        <v>347</v>
      </c>
      <c r="F7" s="1" t="s">
        <v>348</v>
      </c>
      <c r="G7" s="1" t="s">
        <v>349</v>
      </c>
      <c r="H7" s="1" t="s">
        <v>350</v>
      </c>
    </row>
    <row r="8" spans="1:8" ht="55.5" customHeight="1" x14ac:dyDescent="0.5">
      <c r="A8" s="3" t="s">
        <v>351</v>
      </c>
      <c r="B8" s="5" t="s">
        <v>352</v>
      </c>
      <c r="C8" s="5" t="s">
        <v>353</v>
      </c>
      <c r="D8" s="10" t="s">
        <v>281</v>
      </c>
      <c r="E8" s="10" t="s">
        <v>278</v>
      </c>
      <c r="F8" s="3" t="str">
        <f>IFERROR(INDEX('A2.0 Échelle de pertinence'!$B$10:$E$13,MATCH(D8,'A2.0 Échelle de pertinence'!$A$10:$A$13,0),MATCH(E8,'A2.0 Échelle de pertinence'!$B$9:$E$9,0)),"")</f>
        <v>Plutôt pertinent</v>
      </c>
      <c r="G8" s="3" t="s">
        <v>309</v>
      </c>
      <c r="H8" s="3" t="s">
        <v>240</v>
      </c>
    </row>
    <row r="9" spans="1:8" ht="55.5" customHeight="1" x14ac:dyDescent="0.5">
      <c r="A9" s="7" t="s">
        <v>354</v>
      </c>
      <c r="B9" s="8" t="s">
        <v>352</v>
      </c>
      <c r="C9" s="8" t="s">
        <v>355</v>
      </c>
      <c r="D9" s="11" t="s">
        <v>286</v>
      </c>
      <c r="E9" s="11" t="s">
        <v>278</v>
      </c>
      <c r="F9" s="3" t="str">
        <f>IFERROR(INDEX('A2.0 Échelle de pertinence'!$B$10:$E$13,MATCH(D9,'A2.0 Échelle de pertinence'!$A$10:$A$13,0),MATCH(E9,'A2.0 Échelle de pertinence'!$B$9:$E$9,0)),"")</f>
        <v>Moyennement pertinent</v>
      </c>
      <c r="G9" s="7" t="s">
        <v>307</v>
      </c>
      <c r="H9" s="7" t="s">
        <v>356</v>
      </c>
    </row>
    <row r="10" spans="1:8" ht="55.5" customHeight="1" x14ac:dyDescent="0.5">
      <c r="A10" s="3" t="s">
        <v>357</v>
      </c>
      <c r="B10" s="5" t="s">
        <v>358</v>
      </c>
      <c r="C10" s="5" t="s">
        <v>359</v>
      </c>
      <c r="D10" s="10" t="s">
        <v>281</v>
      </c>
      <c r="E10" s="10" t="s">
        <v>279</v>
      </c>
      <c r="F10" s="3" t="str">
        <f>IFERROR(INDEX('A2.0 Échelle de pertinence'!$B$10:$E$13,MATCH(D10,'A2.0 Échelle de pertinence'!$A$10:$A$13,0),MATCH(E10,'A2.0 Échelle de pertinence'!$B$9:$E$9,0)),"")</f>
        <v>Très pertinent</v>
      </c>
      <c r="G10" s="3" t="s">
        <v>309</v>
      </c>
      <c r="H10" s="3" t="s">
        <v>360</v>
      </c>
    </row>
    <row r="11" spans="1:8" ht="55.5" customHeight="1" x14ac:dyDescent="0.5">
      <c r="A11" s="7" t="s">
        <v>361</v>
      </c>
      <c r="B11" s="8" t="s">
        <v>358</v>
      </c>
      <c r="C11" s="8" t="s">
        <v>362</v>
      </c>
      <c r="D11" s="11" t="s">
        <v>285</v>
      </c>
      <c r="E11" s="11" t="s">
        <v>279</v>
      </c>
      <c r="F11" s="3" t="str">
        <f>IFERROR(INDEX('A2.0 Échelle de pertinence'!$B$10:$E$13,MATCH(D11,'A2.0 Échelle de pertinence'!$A$10:$A$13,0),MATCH(E11,'A2.0 Échelle de pertinence'!$B$9:$E$9,0)),"")</f>
        <v>Plutôt pertinent</v>
      </c>
      <c r="G11" s="7" t="s">
        <v>309</v>
      </c>
      <c r="H11" s="7" t="s">
        <v>258</v>
      </c>
    </row>
    <row r="12" spans="1:8" ht="55.5" customHeight="1" x14ac:dyDescent="0.5">
      <c r="A12" s="3" t="s">
        <v>363</v>
      </c>
      <c r="B12" s="5" t="s">
        <v>364</v>
      </c>
      <c r="C12" s="5" t="s">
        <v>365</v>
      </c>
      <c r="D12" s="10" t="s">
        <v>285</v>
      </c>
      <c r="E12" s="10" t="s">
        <v>280</v>
      </c>
      <c r="F12" s="3" t="str">
        <f>IFERROR(INDEX('A2.0 Échelle de pertinence'!$B$10:$E$13,MATCH(D12,'A2.0 Échelle de pertinence'!$A$10:$A$13,0),MATCH(E12,'A2.0 Échelle de pertinence'!$B$9:$E$9,0)),"")</f>
        <v>Très pertinent</v>
      </c>
      <c r="G12" s="3" t="s">
        <v>309</v>
      </c>
      <c r="H12" s="3" t="s">
        <v>251</v>
      </c>
    </row>
    <row r="13" spans="1:8" ht="55.5" customHeight="1" x14ac:dyDescent="0.5">
      <c r="A13" s="7" t="s">
        <v>366</v>
      </c>
      <c r="B13" s="8" t="s">
        <v>367</v>
      </c>
      <c r="C13" s="8" t="s">
        <v>368</v>
      </c>
      <c r="D13" s="11" t="s">
        <v>286</v>
      </c>
      <c r="E13" s="11" t="s">
        <v>278</v>
      </c>
      <c r="F13" s="3" t="str">
        <f>IFERROR(INDEX('A2.0 Échelle de pertinence'!$B$10:$E$13,MATCH(D13,'A2.0 Échelle de pertinence'!$A$10:$A$13,0),MATCH(E13,'A2.0 Échelle de pertinence'!$B$9:$E$9,0)),"")</f>
        <v>Moyennement pertinent</v>
      </c>
      <c r="G13" s="7" t="s">
        <v>307</v>
      </c>
      <c r="H13" s="7" t="s">
        <v>258</v>
      </c>
    </row>
    <row r="14" spans="1:8" ht="55.5" customHeight="1" x14ac:dyDescent="0.5">
      <c r="A14" s="3" t="s">
        <v>369</v>
      </c>
      <c r="B14" s="5" t="s">
        <v>367</v>
      </c>
      <c r="C14" s="5" t="s">
        <v>370</v>
      </c>
      <c r="D14" s="10" t="s">
        <v>286</v>
      </c>
      <c r="E14" s="10" t="s">
        <v>278</v>
      </c>
      <c r="F14" s="3" t="str">
        <f>IFERROR(INDEX('A2.0 Échelle de pertinence'!$B$10:$E$13,MATCH(D14,'A2.0 Échelle de pertinence'!$A$10:$A$13,0),MATCH(E14,'A2.0 Échelle de pertinence'!$B$9:$E$9,0)),"")</f>
        <v>Moyennement pertinent</v>
      </c>
      <c r="G14" s="3" t="s">
        <v>307</v>
      </c>
      <c r="H14" s="3" t="s">
        <v>356</v>
      </c>
    </row>
    <row r="15" spans="1:8" ht="55.5" customHeight="1" x14ac:dyDescent="0.5">
      <c r="A15" s="7" t="s">
        <v>371</v>
      </c>
      <c r="B15" s="8" t="s">
        <v>372</v>
      </c>
      <c r="C15" s="8" t="s">
        <v>373</v>
      </c>
      <c r="D15" s="11" t="s">
        <v>285</v>
      </c>
      <c r="E15" s="11" t="s">
        <v>278</v>
      </c>
      <c r="F15" s="3" t="str">
        <f>IFERROR(INDEX('A2.0 Échelle de pertinence'!$B$10:$E$13,MATCH(D15,'A2.0 Échelle de pertinence'!$A$10:$A$13,0),MATCH(E15,'A2.0 Échelle de pertinence'!$B$9:$E$9,0)),"")</f>
        <v>Plutôt pertinent</v>
      </c>
      <c r="G15" s="7" t="s">
        <v>309</v>
      </c>
      <c r="H15" s="7" t="s">
        <v>262</v>
      </c>
    </row>
    <row r="16" spans="1:8" ht="55.5" customHeight="1" x14ac:dyDescent="0.5">
      <c r="A16" s="3" t="s">
        <v>374</v>
      </c>
      <c r="B16" s="5" t="s">
        <v>372</v>
      </c>
      <c r="C16" s="5" t="s">
        <v>375</v>
      </c>
      <c r="D16" s="10" t="s">
        <v>285</v>
      </c>
      <c r="E16" s="10" t="s">
        <v>278</v>
      </c>
      <c r="F16" s="3" t="str">
        <f>IFERROR(INDEX('A2.0 Échelle de pertinence'!$B$10:$E$13,MATCH(D16,'A2.0 Échelle de pertinence'!$A$10:$A$13,0),MATCH(E16,'A2.0 Échelle de pertinence'!$B$9:$E$9,0)),"")</f>
        <v>Plutôt pertinent</v>
      </c>
      <c r="G16" s="3" t="s">
        <v>309</v>
      </c>
      <c r="H16" s="3" t="s">
        <v>376</v>
      </c>
    </row>
  </sheetData>
  <mergeCells count="3">
    <mergeCell ref="A1:H2"/>
    <mergeCell ref="A6:H6"/>
    <mergeCell ref="A4:H4"/>
  </mergeCells>
  <conditionalFormatting sqref="F8:F16">
    <cfRule type="cellIs" dxfId="6" priority="2" operator="equal">
      <formula>"Peu pertinent"</formula>
    </cfRule>
    <cfRule type="cellIs" dxfId="5" priority="3" operator="equal">
      <formula>"Moyennement pertinent"</formula>
    </cfRule>
    <cfRule type="cellIs" dxfId="4" priority="4" operator="equal">
      <formula>"Plutôt pertinent"</formula>
    </cfRule>
    <cfRule type="cellIs" dxfId="3" priority="5" operator="equal">
      <formula>"Très pertinent"</formula>
    </cfRule>
  </conditionalFormatting>
  <dataValidations count="1">
    <dataValidation type="list" errorTitle="Valeur invalide" error="Choisir parmi : Retenu, Surveillance, Écarté." sqref="G8:G16" xr:uid="{00000000-0002-0000-0800-000002000000}">
      <formula1>"Retenu,Surveillance,Écarté"</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errorTitle="Valeur invalide" error="Veuillez choisir une motivation dans la liste." xr:uid="{00000000-0002-0000-0800-000000000000}">
          <x14:formula1>
            <xm:f>'A2.0 Échelle de pertinence'!$A$10:$A$13</xm:f>
          </x14:formula1>
          <x14:formula2>
            <xm:f>0</xm:f>
          </x14:formula2>
          <xm:sqref>D8:D16</xm:sqref>
        </x14:dataValidation>
        <x14:dataValidation type="list" errorTitle="Valeur invalide" error="Veuillez choisir un niveau de ressources dans la liste." xr:uid="{00000000-0002-0000-0800-000001000000}">
          <x14:formula1>
            <xm:f>'A2.0 Échelle de pertinence'!$B$9:$E$9</xm:f>
          </x14:formula1>
          <x14:formula2>
            <xm:f>0</xm:f>
          </x14:formula2>
          <xm:sqref>E8:E16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36" customWidth="1"/>
    <col min="3" max="3" width="10" customWidth="1"/>
    <col min="4" max="4" width="9" customWidth="1"/>
    <col min="5" max="5" width="50" customWidth="1"/>
    <col min="6" max="6" width="22" customWidth="1"/>
  </cols>
  <sheetData>
    <row r="1" spans="1:6" ht="25.5" customHeight="1" x14ac:dyDescent="0.5">
      <c r="A1" s="58" t="s">
        <v>377</v>
      </c>
      <c r="B1" s="57"/>
      <c r="C1" s="57"/>
      <c r="D1" s="57"/>
      <c r="E1" s="57"/>
      <c r="F1" s="57"/>
    </row>
    <row r="2" spans="1:6" ht="25.5" customHeight="1" x14ac:dyDescent="0.5">
      <c r="A2" s="57"/>
      <c r="B2" s="57"/>
      <c r="C2" s="57"/>
      <c r="D2" s="57"/>
      <c r="E2" s="57"/>
      <c r="F2" s="57"/>
    </row>
    <row r="4" spans="1:6" ht="90" customHeight="1" x14ac:dyDescent="0.5">
      <c r="A4" s="54" t="s">
        <v>378</v>
      </c>
      <c r="B4" s="55"/>
      <c r="C4" s="55"/>
      <c r="D4" s="55"/>
      <c r="E4" s="55"/>
      <c r="F4" s="55"/>
    </row>
    <row r="6" spans="1:6" ht="21.75" customHeight="1" x14ac:dyDescent="0.5">
      <c r="A6" s="66" t="s">
        <v>379</v>
      </c>
      <c r="B6" s="57"/>
      <c r="C6" s="57"/>
      <c r="D6" s="57"/>
      <c r="E6" s="57"/>
      <c r="F6" s="57"/>
    </row>
    <row r="7" spans="1:6" ht="31.5" customHeight="1" x14ac:dyDescent="0.5">
      <c r="A7" s="1" t="s">
        <v>235</v>
      </c>
      <c r="B7" s="1" t="s">
        <v>236</v>
      </c>
      <c r="C7" s="1" t="s">
        <v>238</v>
      </c>
      <c r="D7" s="1" t="s">
        <v>343</v>
      </c>
      <c r="E7" s="1" t="s">
        <v>380</v>
      </c>
      <c r="F7" s="1" t="s">
        <v>301</v>
      </c>
    </row>
    <row r="8" spans="1:6" ht="36" customHeight="1" x14ac:dyDescent="0.5">
      <c r="A8" s="75" t="s">
        <v>258</v>
      </c>
      <c r="B8" s="78" t="s">
        <v>381</v>
      </c>
      <c r="C8" s="76" t="s">
        <v>10</v>
      </c>
      <c r="D8" s="3" t="s">
        <v>361</v>
      </c>
      <c r="E8" s="5" t="s">
        <v>382</v>
      </c>
      <c r="F8" s="36" t="s">
        <v>283</v>
      </c>
    </row>
    <row r="9" spans="1:6" ht="36" customHeight="1" x14ac:dyDescent="0.5">
      <c r="A9" s="63"/>
      <c r="B9" s="63"/>
      <c r="C9" s="63"/>
      <c r="D9" s="3" t="s">
        <v>366</v>
      </c>
      <c r="E9" s="5" t="s">
        <v>383</v>
      </c>
      <c r="F9" s="37" t="s">
        <v>282</v>
      </c>
    </row>
    <row r="10" spans="1:6" ht="36" customHeight="1" x14ac:dyDescent="0.5">
      <c r="A10" s="3" t="s">
        <v>266</v>
      </c>
      <c r="B10" s="5" t="s">
        <v>384</v>
      </c>
      <c r="C10" s="16" t="s">
        <v>10</v>
      </c>
      <c r="D10" s="3" t="s">
        <v>357</v>
      </c>
      <c r="E10" s="5" t="s">
        <v>385</v>
      </c>
      <c r="F10" s="38" t="s">
        <v>284</v>
      </c>
    </row>
    <row r="11" spans="1:6" ht="36" customHeight="1" x14ac:dyDescent="0.5">
      <c r="A11" s="3" t="s">
        <v>251</v>
      </c>
      <c r="B11" s="5" t="s">
        <v>386</v>
      </c>
      <c r="C11" s="19" t="s">
        <v>17</v>
      </c>
      <c r="D11" s="3" t="s">
        <v>363</v>
      </c>
      <c r="E11" s="5" t="s">
        <v>387</v>
      </c>
      <c r="F11" s="38" t="s">
        <v>284</v>
      </c>
    </row>
    <row r="12" spans="1:6" ht="36" customHeight="1" x14ac:dyDescent="0.5">
      <c r="A12" s="3" t="s">
        <v>240</v>
      </c>
      <c r="B12" s="5" t="s">
        <v>241</v>
      </c>
      <c r="C12" s="19" t="s">
        <v>17</v>
      </c>
      <c r="D12" s="3" t="s">
        <v>351</v>
      </c>
      <c r="E12" s="5" t="s">
        <v>388</v>
      </c>
      <c r="F12" s="36" t="s">
        <v>283</v>
      </c>
    </row>
    <row r="13" spans="1:6" ht="36" customHeight="1" x14ac:dyDescent="0.5">
      <c r="A13" s="75" t="s">
        <v>244</v>
      </c>
      <c r="B13" s="78" t="s">
        <v>389</v>
      </c>
      <c r="C13" s="74" t="s">
        <v>17</v>
      </c>
      <c r="D13" s="3" t="s">
        <v>357</v>
      </c>
      <c r="E13" s="5" t="s">
        <v>390</v>
      </c>
      <c r="F13" s="38" t="s">
        <v>284</v>
      </c>
    </row>
    <row r="14" spans="1:6" ht="36" customHeight="1" x14ac:dyDescent="0.5">
      <c r="A14" s="62"/>
      <c r="B14" s="62"/>
      <c r="C14" s="62"/>
      <c r="D14" s="3" t="s">
        <v>354</v>
      </c>
      <c r="E14" s="5" t="s">
        <v>391</v>
      </c>
      <c r="F14" s="37" t="s">
        <v>282</v>
      </c>
    </row>
    <row r="15" spans="1:6" ht="36" customHeight="1" x14ac:dyDescent="0.5">
      <c r="A15" s="63"/>
      <c r="B15" s="63"/>
      <c r="C15" s="63"/>
      <c r="D15" s="3" t="s">
        <v>369</v>
      </c>
      <c r="E15" s="5" t="s">
        <v>392</v>
      </c>
      <c r="F15" s="37" t="s">
        <v>282</v>
      </c>
    </row>
    <row r="16" spans="1:6" ht="36" customHeight="1" x14ac:dyDescent="0.5">
      <c r="A16" s="75" t="s">
        <v>262</v>
      </c>
      <c r="B16" s="78" t="s">
        <v>393</v>
      </c>
      <c r="C16" s="74" t="s">
        <v>17</v>
      </c>
      <c r="D16" s="3" t="s">
        <v>371</v>
      </c>
      <c r="E16" s="5" t="s">
        <v>394</v>
      </c>
      <c r="F16" s="36" t="s">
        <v>283</v>
      </c>
    </row>
    <row r="17" spans="1:6" ht="36" customHeight="1" x14ac:dyDescent="0.5">
      <c r="A17" s="63"/>
      <c r="B17" s="63"/>
      <c r="C17" s="63"/>
      <c r="D17" s="3" t="s">
        <v>374</v>
      </c>
      <c r="E17" s="5" t="s">
        <v>395</v>
      </c>
      <c r="F17" s="36" t="s">
        <v>283</v>
      </c>
    </row>
    <row r="18" spans="1:6" ht="36" customHeight="1" x14ac:dyDescent="0.5">
      <c r="A18" s="3" t="s">
        <v>269</v>
      </c>
      <c r="B18" s="5" t="s">
        <v>396</v>
      </c>
      <c r="C18" s="19" t="s">
        <v>17</v>
      </c>
      <c r="D18" s="3" t="s">
        <v>73</v>
      </c>
      <c r="E18" s="5" t="s">
        <v>397</v>
      </c>
      <c r="F18" s="10" t="s">
        <v>398</v>
      </c>
    </row>
    <row r="19" spans="1:6" ht="36" customHeight="1" x14ac:dyDescent="0.5">
      <c r="A19" s="3" t="s">
        <v>254</v>
      </c>
      <c r="B19" s="5" t="s">
        <v>399</v>
      </c>
      <c r="C19" s="19" t="s">
        <v>17</v>
      </c>
      <c r="D19" s="3" t="s">
        <v>374</v>
      </c>
      <c r="E19" s="5" t="s">
        <v>400</v>
      </c>
      <c r="F19" s="36" t="s">
        <v>283</v>
      </c>
    </row>
    <row r="20" spans="1:6" ht="36" customHeight="1" x14ac:dyDescent="0.5">
      <c r="A20" s="75" t="s">
        <v>247</v>
      </c>
      <c r="B20" s="78" t="s">
        <v>401</v>
      </c>
      <c r="C20" s="77" t="s">
        <v>24</v>
      </c>
      <c r="D20" s="3" t="s">
        <v>354</v>
      </c>
      <c r="E20" s="5" t="s">
        <v>402</v>
      </c>
      <c r="F20" s="37" t="s">
        <v>282</v>
      </c>
    </row>
    <row r="21" spans="1:6" ht="36" customHeight="1" x14ac:dyDescent="0.5">
      <c r="A21" s="63"/>
      <c r="B21" s="63"/>
      <c r="C21" s="63"/>
      <c r="D21" s="3" t="s">
        <v>369</v>
      </c>
      <c r="E21" s="5" t="s">
        <v>403</v>
      </c>
      <c r="F21" s="37" t="s">
        <v>282</v>
      </c>
    </row>
  </sheetData>
  <mergeCells count="15">
    <mergeCell ref="A1:F2"/>
    <mergeCell ref="A6:F6"/>
    <mergeCell ref="B8:B9"/>
    <mergeCell ref="A20:A21"/>
    <mergeCell ref="A16:A17"/>
    <mergeCell ref="A4:F4"/>
    <mergeCell ref="B16:B17"/>
    <mergeCell ref="C16:C17"/>
    <mergeCell ref="B20:B21"/>
    <mergeCell ref="A13:A15"/>
    <mergeCell ref="C13:C15"/>
    <mergeCell ref="A8:A9"/>
    <mergeCell ref="C8:C9"/>
    <mergeCell ref="C20:C21"/>
    <mergeCell ref="B13:B15"/>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3"/>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10" customWidth="1"/>
    <col min="2" max="5" width="32" customWidth="1"/>
  </cols>
  <sheetData>
    <row r="1" spans="1:5" ht="25.5" customHeight="1" x14ac:dyDescent="0.5">
      <c r="A1" s="58" t="s">
        <v>404</v>
      </c>
      <c r="B1" s="57"/>
      <c r="C1" s="57"/>
      <c r="D1" s="57"/>
      <c r="E1" s="57"/>
    </row>
    <row r="2" spans="1:5" ht="25.5" customHeight="1" x14ac:dyDescent="0.5">
      <c r="A2" s="57"/>
      <c r="B2" s="57"/>
      <c r="C2" s="57"/>
      <c r="D2" s="57"/>
      <c r="E2" s="57"/>
    </row>
    <row r="4" spans="1:5" ht="79.5" customHeight="1" x14ac:dyDescent="0.5">
      <c r="A4" s="54" t="s">
        <v>405</v>
      </c>
      <c r="B4" s="55"/>
      <c r="C4" s="55"/>
      <c r="D4" s="55"/>
      <c r="E4" s="55"/>
    </row>
    <row r="6" spans="1:5" ht="21.75" customHeight="1" x14ac:dyDescent="0.5">
      <c r="A6" s="66" t="s">
        <v>406</v>
      </c>
      <c r="B6" s="57"/>
      <c r="C6" s="57"/>
      <c r="D6" s="57"/>
      <c r="E6" s="57"/>
    </row>
    <row r="7" spans="1:5" ht="24" customHeight="1" x14ac:dyDescent="0.5">
      <c r="A7" s="39"/>
      <c r="B7" s="73" t="s">
        <v>407</v>
      </c>
      <c r="C7" s="55"/>
      <c r="D7" s="73" t="s">
        <v>408</v>
      </c>
      <c r="E7" s="55"/>
    </row>
    <row r="8" spans="1:5" ht="27.75" customHeight="1" x14ac:dyDescent="0.5">
      <c r="A8" s="1" t="s">
        <v>3</v>
      </c>
      <c r="B8" s="1" t="s">
        <v>409</v>
      </c>
      <c r="C8" s="1" t="s">
        <v>410</v>
      </c>
      <c r="D8" s="1" t="s">
        <v>411</v>
      </c>
      <c r="E8" s="1" t="s">
        <v>412</v>
      </c>
    </row>
    <row r="9" spans="1:5" ht="87.75" customHeight="1" x14ac:dyDescent="0.5">
      <c r="A9" s="3">
        <v>1</v>
      </c>
      <c r="B9" s="5" t="s">
        <v>413</v>
      </c>
      <c r="C9" s="5" t="s">
        <v>414</v>
      </c>
      <c r="D9" s="5" t="s">
        <v>415</v>
      </c>
      <c r="E9" s="5" t="s">
        <v>416</v>
      </c>
    </row>
    <row r="10" spans="1:5" ht="87.75" customHeight="1" x14ac:dyDescent="0.5">
      <c r="A10" s="7">
        <v>2</v>
      </c>
      <c r="B10" s="8" t="s">
        <v>417</v>
      </c>
      <c r="C10" s="8" t="s">
        <v>418</v>
      </c>
      <c r="D10" s="8" t="s">
        <v>419</v>
      </c>
      <c r="E10" s="8" t="s">
        <v>420</v>
      </c>
    </row>
    <row r="11" spans="1:5" ht="87.75" customHeight="1" x14ac:dyDescent="0.5">
      <c r="A11" s="3">
        <v>3</v>
      </c>
      <c r="B11" s="5" t="s">
        <v>421</v>
      </c>
      <c r="C11" s="5" t="s">
        <v>422</v>
      </c>
      <c r="D11" s="5" t="s">
        <v>423</v>
      </c>
      <c r="E11" s="5" t="s">
        <v>424</v>
      </c>
    </row>
    <row r="12" spans="1:5" ht="87.75" customHeight="1" x14ac:dyDescent="0.5">
      <c r="A12" s="7">
        <v>4</v>
      </c>
      <c r="B12" s="8" t="s">
        <v>425</v>
      </c>
      <c r="C12" s="8" t="s">
        <v>426</v>
      </c>
      <c r="D12" s="8" t="s">
        <v>427</v>
      </c>
      <c r="E12" s="8" t="s">
        <v>428</v>
      </c>
    </row>
    <row r="14" spans="1:5" ht="21.75" customHeight="1" x14ac:dyDescent="0.5">
      <c r="A14" s="66" t="s">
        <v>429</v>
      </c>
      <c r="B14" s="57"/>
      <c r="C14" s="57"/>
      <c r="D14" s="57"/>
      <c r="E14" s="57"/>
    </row>
    <row r="15" spans="1:5" ht="25.5" customHeight="1" x14ac:dyDescent="0.5">
      <c r="A15" s="1" t="s">
        <v>430</v>
      </c>
      <c r="B15" s="1" t="s">
        <v>431</v>
      </c>
      <c r="C15" s="1" t="s">
        <v>432</v>
      </c>
      <c r="D15" s="1" t="s">
        <v>433</v>
      </c>
      <c r="E15" s="1" t="s">
        <v>434</v>
      </c>
    </row>
    <row r="16" spans="1:5" ht="36" customHeight="1" x14ac:dyDescent="0.5">
      <c r="A16" s="25" t="s">
        <v>435</v>
      </c>
      <c r="B16" s="10" t="s">
        <v>436</v>
      </c>
      <c r="C16" s="10" t="s">
        <v>437</v>
      </c>
      <c r="D16" s="10" t="s">
        <v>438</v>
      </c>
      <c r="E16" s="5" t="s">
        <v>439</v>
      </c>
    </row>
    <row r="17" spans="1:5" ht="36" customHeight="1" x14ac:dyDescent="0.5">
      <c r="A17" s="22" t="s">
        <v>440</v>
      </c>
      <c r="B17" s="10" t="s">
        <v>441</v>
      </c>
      <c r="C17" s="10" t="s">
        <v>438</v>
      </c>
      <c r="D17" s="10" t="s">
        <v>442</v>
      </c>
      <c r="E17" s="5" t="s">
        <v>443</v>
      </c>
    </row>
    <row r="18" spans="1:5" ht="36" customHeight="1" x14ac:dyDescent="0.5">
      <c r="A18" s="16" t="s">
        <v>444</v>
      </c>
      <c r="B18" s="10" t="s">
        <v>445</v>
      </c>
      <c r="C18" s="10" t="s">
        <v>442</v>
      </c>
      <c r="D18" s="10" t="s">
        <v>446</v>
      </c>
      <c r="E18" s="5" t="s">
        <v>447</v>
      </c>
    </row>
    <row r="20" spans="1:5" ht="21.75" customHeight="1" x14ac:dyDescent="0.5">
      <c r="A20" s="66" t="s">
        <v>448</v>
      </c>
      <c r="B20" s="57"/>
      <c r="C20" s="57"/>
      <c r="D20" s="57"/>
      <c r="E20" s="57"/>
    </row>
    <row r="21" spans="1:5" ht="24" customHeight="1" x14ac:dyDescent="0.5">
      <c r="A21" s="1" t="s">
        <v>449</v>
      </c>
      <c r="B21" s="1" t="s">
        <v>450</v>
      </c>
      <c r="C21" s="1" t="s">
        <v>451</v>
      </c>
      <c r="D21" s="1" t="s">
        <v>452</v>
      </c>
      <c r="E21" s="1" t="s">
        <v>453</v>
      </c>
    </row>
    <row r="22" spans="1:5" ht="21.75" customHeight="1" x14ac:dyDescent="0.5">
      <c r="A22" s="3" t="s">
        <v>454</v>
      </c>
      <c r="B22" s="10" t="s">
        <v>455</v>
      </c>
      <c r="C22" s="10" t="s">
        <v>456</v>
      </c>
      <c r="D22" s="10" t="s">
        <v>457</v>
      </c>
      <c r="E22" s="10" t="s">
        <v>458</v>
      </c>
    </row>
    <row r="23" spans="1:5" ht="21.75" customHeight="1" x14ac:dyDescent="0.5">
      <c r="A23" s="7" t="s">
        <v>459</v>
      </c>
      <c r="B23" s="11" t="s">
        <v>460</v>
      </c>
      <c r="C23" s="11" t="s">
        <v>461</v>
      </c>
      <c r="D23" s="11" t="s">
        <v>462</v>
      </c>
      <c r="E23" s="11" t="s">
        <v>463</v>
      </c>
    </row>
  </sheetData>
  <mergeCells count="7">
    <mergeCell ref="A4:E4"/>
    <mergeCell ref="A20:E20"/>
    <mergeCell ref="D7:E7"/>
    <mergeCell ref="B7:C7"/>
    <mergeCell ref="A1:E2"/>
    <mergeCell ref="A14:E14"/>
    <mergeCell ref="A6:E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4"/>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8" customWidth="1"/>
    <col min="2" max="2" width="14" customWidth="1"/>
    <col min="3" max="3" width="32" customWidth="1"/>
    <col min="4" max="4" width="50" customWidth="1"/>
    <col min="5" max="5" width="30" customWidth="1"/>
  </cols>
  <sheetData>
    <row r="1" spans="1:5" ht="25.5" customHeight="1" x14ac:dyDescent="0.5">
      <c r="A1" s="58" t="s">
        <v>464</v>
      </c>
      <c r="B1" s="57"/>
      <c r="C1" s="57"/>
      <c r="D1" s="57"/>
      <c r="E1" s="57"/>
    </row>
    <row r="2" spans="1:5" ht="25.5" customHeight="1" x14ac:dyDescent="0.5">
      <c r="A2" s="57"/>
      <c r="B2" s="57"/>
      <c r="C2" s="57"/>
      <c r="D2" s="57"/>
      <c r="E2" s="57"/>
    </row>
    <row r="4" spans="1:5" ht="84" customHeight="1" x14ac:dyDescent="0.5">
      <c r="A4" s="54" t="s">
        <v>465</v>
      </c>
      <c r="B4" s="55"/>
      <c r="C4" s="55"/>
      <c r="D4" s="55"/>
      <c r="E4" s="55"/>
    </row>
    <row r="6" spans="1:5" ht="21.75" customHeight="1" x14ac:dyDescent="0.5">
      <c r="A6" s="66" t="s">
        <v>466</v>
      </c>
      <c r="B6" s="57"/>
      <c r="C6" s="57"/>
      <c r="D6" s="57"/>
      <c r="E6" s="57"/>
    </row>
    <row r="7" spans="1:5" ht="31.5" customHeight="1" x14ac:dyDescent="0.5">
      <c r="A7" s="1" t="s">
        <v>467</v>
      </c>
      <c r="B7" s="1" t="s">
        <v>468</v>
      </c>
      <c r="C7" s="1" t="s">
        <v>4</v>
      </c>
      <c r="D7" s="1" t="s">
        <v>469</v>
      </c>
      <c r="E7" s="1" t="s">
        <v>470</v>
      </c>
    </row>
    <row r="8" spans="1:5" ht="87.75" customHeight="1" x14ac:dyDescent="0.5">
      <c r="A8" s="3" t="s">
        <v>471</v>
      </c>
      <c r="B8" s="10" t="s">
        <v>472</v>
      </c>
      <c r="C8" s="34" t="s">
        <v>473</v>
      </c>
      <c r="D8" s="5" t="s">
        <v>474</v>
      </c>
      <c r="E8" s="5" t="s">
        <v>475</v>
      </c>
    </row>
    <row r="9" spans="1:5" ht="87.75" customHeight="1" x14ac:dyDescent="0.5">
      <c r="A9" s="7" t="s">
        <v>476</v>
      </c>
      <c r="B9" s="11" t="s">
        <v>472</v>
      </c>
      <c r="C9" s="35" t="s">
        <v>477</v>
      </c>
      <c r="D9" s="8" t="s">
        <v>478</v>
      </c>
      <c r="E9" s="8" t="s">
        <v>479</v>
      </c>
    </row>
    <row r="10" spans="1:5" ht="87.75" customHeight="1" x14ac:dyDescent="0.5">
      <c r="A10" s="3" t="s">
        <v>480</v>
      </c>
      <c r="B10" s="10" t="s">
        <v>472</v>
      </c>
      <c r="C10" s="34" t="s">
        <v>481</v>
      </c>
      <c r="D10" s="5" t="s">
        <v>482</v>
      </c>
      <c r="E10" s="5" t="s">
        <v>483</v>
      </c>
    </row>
    <row r="11" spans="1:5" ht="87.75" customHeight="1" x14ac:dyDescent="0.5">
      <c r="A11" s="7" t="s">
        <v>484</v>
      </c>
      <c r="B11" s="11" t="s">
        <v>472</v>
      </c>
      <c r="C11" s="35" t="s">
        <v>485</v>
      </c>
      <c r="D11" s="8" t="s">
        <v>486</v>
      </c>
      <c r="E11" s="8" t="s">
        <v>487</v>
      </c>
    </row>
    <row r="12" spans="1:5" ht="87.75" customHeight="1" x14ac:dyDescent="0.5">
      <c r="A12" s="3" t="s">
        <v>488</v>
      </c>
      <c r="B12" s="10" t="s">
        <v>489</v>
      </c>
      <c r="C12" s="34" t="s">
        <v>490</v>
      </c>
      <c r="D12" s="5" t="s">
        <v>491</v>
      </c>
      <c r="E12" s="5" t="s">
        <v>492</v>
      </c>
    </row>
    <row r="13" spans="1:5" ht="87.75" customHeight="1" x14ac:dyDescent="0.5">
      <c r="A13" s="7" t="s">
        <v>493</v>
      </c>
      <c r="B13" s="11" t="s">
        <v>489</v>
      </c>
      <c r="C13" s="35" t="s">
        <v>494</v>
      </c>
      <c r="D13" s="8" t="s">
        <v>495</v>
      </c>
      <c r="E13" s="8" t="s">
        <v>496</v>
      </c>
    </row>
    <row r="14" spans="1:5" ht="87.75" customHeight="1" x14ac:dyDescent="0.5">
      <c r="A14" s="3" t="s">
        <v>497</v>
      </c>
      <c r="B14" s="10" t="s">
        <v>489</v>
      </c>
      <c r="C14" s="34" t="s">
        <v>498</v>
      </c>
      <c r="D14" s="5" t="s">
        <v>499</v>
      </c>
      <c r="E14" s="5" t="s">
        <v>500</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66"/>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8" customWidth="1"/>
    <col min="2" max="2" width="26" customWidth="1"/>
    <col min="3" max="4" width="11" customWidth="1"/>
    <col min="5" max="5" width="12" customWidth="1"/>
    <col min="6" max="6" width="11" customWidth="1"/>
    <col min="7" max="8" width="13" customWidth="1"/>
    <col min="9" max="9" width="14" customWidth="1"/>
    <col min="10" max="10" width="12" customWidth="1"/>
    <col min="11" max="11" width="14" customWidth="1"/>
  </cols>
  <sheetData>
    <row r="1" spans="1:11" ht="25.5" customHeight="1" x14ac:dyDescent="0.5">
      <c r="A1" s="58" t="s">
        <v>501</v>
      </c>
      <c r="B1" s="57"/>
      <c r="C1" s="57"/>
      <c r="D1" s="57"/>
      <c r="E1" s="57"/>
      <c r="F1" s="57"/>
      <c r="G1" s="57"/>
      <c r="H1" s="57"/>
      <c r="I1" s="57"/>
      <c r="J1" s="57"/>
      <c r="K1" s="57"/>
    </row>
    <row r="2" spans="1:11" ht="25.5" customHeight="1" x14ac:dyDescent="0.5">
      <c r="A2" s="57"/>
      <c r="B2" s="57"/>
      <c r="C2" s="57"/>
      <c r="D2" s="57"/>
      <c r="E2" s="57"/>
      <c r="F2" s="57"/>
      <c r="G2" s="57"/>
      <c r="H2" s="57"/>
      <c r="I2" s="57"/>
      <c r="J2" s="57"/>
      <c r="K2" s="57"/>
    </row>
    <row r="4" spans="1:11" ht="84" customHeight="1" x14ac:dyDescent="0.5">
      <c r="A4" s="54" t="s">
        <v>502</v>
      </c>
      <c r="B4" s="55"/>
      <c r="C4" s="55"/>
      <c r="D4" s="55"/>
      <c r="E4" s="55"/>
      <c r="F4" s="55"/>
      <c r="G4" s="55"/>
      <c r="H4" s="55"/>
      <c r="I4" s="55"/>
      <c r="J4" s="55"/>
      <c r="K4" s="55"/>
    </row>
    <row r="6" spans="1:11" ht="21.75" customHeight="1" x14ac:dyDescent="0.5">
      <c r="A6" s="66" t="s">
        <v>503</v>
      </c>
      <c r="B6" s="57"/>
      <c r="C6" s="57"/>
      <c r="D6" s="57"/>
      <c r="E6" s="57"/>
      <c r="F6" s="57"/>
      <c r="G6" s="57"/>
      <c r="H6" s="57"/>
      <c r="I6" s="57"/>
      <c r="J6" s="57"/>
      <c r="K6" s="57"/>
    </row>
    <row r="7" spans="1:11" ht="43.5" customHeight="1" x14ac:dyDescent="0.5">
      <c r="A7" s="1" t="s">
        <v>467</v>
      </c>
      <c r="B7" s="1" t="s">
        <v>4</v>
      </c>
      <c r="C7" s="1" t="s">
        <v>504</v>
      </c>
      <c r="D7" s="1" t="s">
        <v>505</v>
      </c>
      <c r="E7" s="1" t="s">
        <v>506</v>
      </c>
      <c r="F7" s="1" t="s">
        <v>507</v>
      </c>
      <c r="G7" s="1" t="s">
        <v>508</v>
      </c>
      <c r="H7" s="1" t="s">
        <v>509</v>
      </c>
      <c r="I7" s="1" t="s">
        <v>510</v>
      </c>
      <c r="J7" s="1" t="s">
        <v>430</v>
      </c>
      <c r="K7" s="1" t="s">
        <v>511</v>
      </c>
    </row>
    <row r="8" spans="1:11" ht="31.5" customHeight="1" x14ac:dyDescent="0.5">
      <c r="A8" s="3" t="s">
        <v>471</v>
      </c>
      <c r="B8" s="5" t="s">
        <v>473</v>
      </c>
      <c r="C8" s="10">
        <v>3</v>
      </c>
      <c r="D8" s="10">
        <v>3</v>
      </c>
      <c r="E8" s="10">
        <f t="shared" ref="E8:E14" si="0">C8*D8</f>
        <v>9</v>
      </c>
      <c r="F8" s="10">
        <v>2</v>
      </c>
      <c r="G8" s="10">
        <v>3</v>
      </c>
      <c r="H8" s="10">
        <f t="shared" ref="H8:H14" si="1">F8*G8</f>
        <v>6</v>
      </c>
      <c r="I8" s="40">
        <f t="shared" ref="I8:I14" si="2">IFERROR(E8/H8,"")</f>
        <v>1.5</v>
      </c>
      <c r="J8" s="3" t="str">
        <f t="shared" ref="J8:J14" si="3">IF(I8="","",IF(I8&lt;0.2,"Veille",IF(I8&lt;2.5,"Contrôle","Danger")))</f>
        <v>Contrôle</v>
      </c>
      <c r="K8" s="3" t="str">
        <f t="shared" ref="K8:K14" si="4">IF(J8="Danger","Oui","Non")</f>
        <v>Non</v>
      </c>
    </row>
    <row r="9" spans="1:11" ht="31.5" customHeight="1" x14ac:dyDescent="0.5">
      <c r="A9" s="7" t="s">
        <v>476</v>
      </c>
      <c r="B9" s="8" t="s">
        <v>477</v>
      </c>
      <c r="C9" s="11">
        <v>2</v>
      </c>
      <c r="D9" s="11">
        <v>2</v>
      </c>
      <c r="E9" s="11">
        <f t="shared" si="0"/>
        <v>4</v>
      </c>
      <c r="F9" s="11">
        <v>3</v>
      </c>
      <c r="G9" s="11">
        <v>3</v>
      </c>
      <c r="H9" s="11">
        <f t="shared" si="1"/>
        <v>9</v>
      </c>
      <c r="I9" s="41">
        <f t="shared" si="2"/>
        <v>0.44444444444444442</v>
      </c>
      <c r="J9" s="3" t="str">
        <f t="shared" si="3"/>
        <v>Contrôle</v>
      </c>
      <c r="K9" s="7" t="str">
        <f t="shared" si="4"/>
        <v>Non</v>
      </c>
    </row>
    <row r="10" spans="1:11" ht="31.5" customHeight="1" x14ac:dyDescent="0.5">
      <c r="A10" s="3" t="s">
        <v>480</v>
      </c>
      <c r="B10" s="5" t="s">
        <v>512</v>
      </c>
      <c r="C10" s="10">
        <v>3</v>
      </c>
      <c r="D10" s="10">
        <v>1</v>
      </c>
      <c r="E10" s="10">
        <f t="shared" si="0"/>
        <v>3</v>
      </c>
      <c r="F10" s="10">
        <v>4</v>
      </c>
      <c r="G10" s="10">
        <v>4</v>
      </c>
      <c r="H10" s="10">
        <f t="shared" si="1"/>
        <v>16</v>
      </c>
      <c r="I10" s="40">
        <f t="shared" si="2"/>
        <v>0.1875</v>
      </c>
      <c r="J10" s="3" t="str">
        <f t="shared" si="3"/>
        <v>Veille</v>
      </c>
      <c r="K10" s="3" t="str">
        <f t="shared" si="4"/>
        <v>Non</v>
      </c>
    </row>
    <row r="11" spans="1:11" ht="31.5" customHeight="1" x14ac:dyDescent="0.5">
      <c r="A11" s="7" t="s">
        <v>484</v>
      </c>
      <c r="B11" s="8" t="s">
        <v>485</v>
      </c>
      <c r="C11" s="11">
        <v>1</v>
      </c>
      <c r="D11" s="11">
        <v>1</v>
      </c>
      <c r="E11" s="11">
        <f t="shared" si="0"/>
        <v>1</v>
      </c>
      <c r="F11" s="11">
        <v>4</v>
      </c>
      <c r="G11" s="11">
        <v>4</v>
      </c>
      <c r="H11" s="11">
        <f t="shared" si="1"/>
        <v>16</v>
      </c>
      <c r="I11" s="41">
        <f t="shared" si="2"/>
        <v>6.25E-2</v>
      </c>
      <c r="J11" s="3" t="str">
        <f t="shared" si="3"/>
        <v>Veille</v>
      </c>
      <c r="K11" s="7" t="str">
        <f t="shared" si="4"/>
        <v>Non</v>
      </c>
    </row>
    <row r="12" spans="1:11" ht="31.5" customHeight="1" x14ac:dyDescent="0.5">
      <c r="A12" s="3" t="s">
        <v>488</v>
      </c>
      <c r="B12" s="5" t="s">
        <v>490</v>
      </c>
      <c r="C12" s="10">
        <v>3</v>
      </c>
      <c r="D12" s="10">
        <v>3</v>
      </c>
      <c r="E12" s="10">
        <f t="shared" si="0"/>
        <v>9</v>
      </c>
      <c r="F12" s="10">
        <v>2</v>
      </c>
      <c r="G12" s="10">
        <v>2</v>
      </c>
      <c r="H12" s="10">
        <f t="shared" si="1"/>
        <v>4</v>
      </c>
      <c r="I12" s="40">
        <f t="shared" si="2"/>
        <v>2.25</v>
      </c>
      <c r="J12" s="3" t="str">
        <f t="shared" si="3"/>
        <v>Contrôle</v>
      </c>
      <c r="K12" s="3" t="str">
        <f t="shared" si="4"/>
        <v>Non</v>
      </c>
    </row>
    <row r="13" spans="1:11" ht="31.5" customHeight="1" x14ac:dyDescent="0.5">
      <c r="A13" s="7" t="s">
        <v>493</v>
      </c>
      <c r="B13" s="8" t="s">
        <v>513</v>
      </c>
      <c r="C13" s="11">
        <v>4</v>
      </c>
      <c r="D13" s="11">
        <v>2</v>
      </c>
      <c r="E13" s="11">
        <f t="shared" si="0"/>
        <v>8</v>
      </c>
      <c r="F13" s="11">
        <v>4</v>
      </c>
      <c r="G13" s="11">
        <v>4</v>
      </c>
      <c r="H13" s="11">
        <f t="shared" si="1"/>
        <v>16</v>
      </c>
      <c r="I13" s="41">
        <f t="shared" si="2"/>
        <v>0.5</v>
      </c>
      <c r="J13" s="3" t="str">
        <f t="shared" si="3"/>
        <v>Contrôle</v>
      </c>
      <c r="K13" s="7" t="str">
        <f t="shared" si="4"/>
        <v>Non</v>
      </c>
    </row>
    <row r="14" spans="1:11" ht="31.5" customHeight="1" x14ac:dyDescent="0.5">
      <c r="A14" s="3" t="s">
        <v>497</v>
      </c>
      <c r="B14" s="5" t="s">
        <v>498</v>
      </c>
      <c r="C14" s="10">
        <v>2</v>
      </c>
      <c r="D14" s="10">
        <v>1</v>
      </c>
      <c r="E14" s="10">
        <f t="shared" si="0"/>
        <v>2</v>
      </c>
      <c r="F14" s="10">
        <v>3</v>
      </c>
      <c r="G14" s="10">
        <v>3</v>
      </c>
      <c r="H14" s="10">
        <f t="shared" si="1"/>
        <v>9</v>
      </c>
      <c r="I14" s="40">
        <f t="shared" si="2"/>
        <v>0.22222222222222221</v>
      </c>
      <c r="J14" s="3" t="str">
        <f t="shared" si="3"/>
        <v>Contrôle</v>
      </c>
      <c r="K14" s="3" t="str">
        <f t="shared" si="4"/>
        <v>Non</v>
      </c>
    </row>
    <row r="16" spans="1:11" ht="21.75" customHeight="1" x14ac:dyDescent="0.5">
      <c r="A16" s="66" t="s">
        <v>514</v>
      </c>
      <c r="B16" s="57"/>
      <c r="C16" s="57"/>
      <c r="D16" s="57"/>
      <c r="E16" s="57"/>
      <c r="F16" s="57"/>
      <c r="G16" s="57"/>
      <c r="H16" s="57"/>
      <c r="I16" s="57"/>
      <c r="J16" s="57"/>
      <c r="K16" s="57"/>
    </row>
    <row r="17" spans="1:11" ht="60" customHeight="1" x14ac:dyDescent="0.5">
      <c r="A17" s="54" t="s">
        <v>515</v>
      </c>
      <c r="B17" s="55"/>
      <c r="C17" s="55"/>
      <c r="D17" s="55"/>
      <c r="E17" s="55"/>
      <c r="F17" s="55"/>
      <c r="G17" s="55"/>
      <c r="H17" s="55"/>
      <c r="I17" s="55"/>
      <c r="J17" s="55"/>
      <c r="K17" s="55"/>
    </row>
    <row r="19" spans="1:11" ht="24" customHeight="1" x14ac:dyDescent="0.5">
      <c r="A19" s="79" t="s">
        <v>516</v>
      </c>
      <c r="B19" s="57"/>
      <c r="C19" s="57"/>
      <c r="D19" s="57"/>
      <c r="E19" s="57"/>
      <c r="F19" s="57"/>
      <c r="G19" s="57"/>
      <c r="H19" s="57"/>
      <c r="I19" s="57"/>
      <c r="J19" s="57"/>
      <c r="K19" s="57"/>
    </row>
    <row r="20" spans="1:11" ht="18" customHeight="1" x14ac:dyDescent="0.5"/>
    <row r="21" spans="1:11" ht="18" customHeight="1" x14ac:dyDescent="0.5"/>
    <row r="22" spans="1:11" ht="18" customHeight="1" x14ac:dyDescent="0.5"/>
    <row r="23" spans="1:11" ht="18" customHeight="1" x14ac:dyDescent="0.5"/>
    <row r="24" spans="1:11" ht="18" customHeight="1" x14ac:dyDescent="0.5"/>
    <row r="25" spans="1:11" ht="18" customHeight="1" x14ac:dyDescent="0.5"/>
    <row r="26" spans="1:11" ht="18" customHeight="1" x14ac:dyDescent="0.5"/>
    <row r="27" spans="1:11" ht="18" customHeight="1" x14ac:dyDescent="0.5"/>
    <row r="28" spans="1:11" ht="18" customHeight="1" x14ac:dyDescent="0.5"/>
    <row r="29" spans="1:11" ht="18" customHeight="1" x14ac:dyDescent="0.5"/>
    <row r="30" spans="1:11" ht="18" customHeight="1" x14ac:dyDescent="0.5"/>
    <row r="31" spans="1:11" ht="18" customHeight="1" x14ac:dyDescent="0.5"/>
    <row r="32" spans="1:11" ht="18" customHeight="1" x14ac:dyDescent="0.5"/>
    <row r="33" ht="18" customHeight="1" x14ac:dyDescent="0.5"/>
    <row r="34" ht="18" customHeight="1" x14ac:dyDescent="0.5"/>
    <row r="35" ht="18" customHeight="1" x14ac:dyDescent="0.5"/>
    <row r="36" ht="18" customHeight="1" x14ac:dyDescent="0.5"/>
    <row r="37" ht="18" customHeight="1" x14ac:dyDescent="0.5"/>
    <row r="38" ht="18" customHeight="1" x14ac:dyDescent="0.5"/>
    <row r="39" ht="18" customHeight="1" x14ac:dyDescent="0.5"/>
    <row r="40" ht="18" customHeight="1" x14ac:dyDescent="0.5"/>
    <row r="41" ht="18" customHeight="1" x14ac:dyDescent="0.5"/>
    <row r="42" ht="18" customHeight="1" x14ac:dyDescent="0.5"/>
    <row r="43" ht="18" customHeight="1" x14ac:dyDescent="0.5"/>
    <row r="44" ht="18" customHeight="1" x14ac:dyDescent="0.5"/>
    <row r="45" ht="18" customHeight="1" x14ac:dyDescent="0.5"/>
    <row r="46" ht="18" customHeight="1" x14ac:dyDescent="0.5"/>
    <row r="47" ht="18" customHeight="1" x14ac:dyDescent="0.5"/>
    <row r="48" ht="18" customHeight="1" x14ac:dyDescent="0.5"/>
    <row r="49" ht="18" customHeight="1" x14ac:dyDescent="0.5"/>
    <row r="50" ht="18" customHeight="1" x14ac:dyDescent="0.5"/>
    <row r="51" ht="18" customHeight="1" x14ac:dyDescent="0.5"/>
    <row r="52" ht="18" customHeight="1" x14ac:dyDescent="0.5"/>
    <row r="53" ht="18" customHeight="1" x14ac:dyDescent="0.5"/>
    <row r="54" ht="18" customHeight="1" x14ac:dyDescent="0.5"/>
    <row r="55" ht="18" customHeight="1" x14ac:dyDescent="0.5"/>
    <row r="56" ht="18" customHeight="1" x14ac:dyDescent="0.5"/>
    <row r="57" ht="18" customHeight="1" x14ac:dyDescent="0.5"/>
    <row r="58" ht="18" customHeight="1" x14ac:dyDescent="0.5"/>
    <row r="59" ht="18" customHeight="1" x14ac:dyDescent="0.5"/>
    <row r="60" ht="18" customHeight="1" x14ac:dyDescent="0.5"/>
    <row r="61" ht="18" customHeight="1" x14ac:dyDescent="0.5"/>
    <row r="62" ht="18" customHeight="1" x14ac:dyDescent="0.5"/>
    <row r="63" ht="18" customHeight="1" x14ac:dyDescent="0.5"/>
    <row r="64" ht="18" customHeight="1" x14ac:dyDescent="0.5"/>
    <row r="65" ht="18" customHeight="1" x14ac:dyDescent="0.5"/>
    <row r="66" ht="18" customHeight="1" x14ac:dyDescent="0.5"/>
  </sheetData>
  <mergeCells count="6">
    <mergeCell ref="A1:K2"/>
    <mergeCell ref="A6:K6"/>
    <mergeCell ref="A4:K4"/>
    <mergeCell ref="A16:K16"/>
    <mergeCell ref="A19:K19"/>
    <mergeCell ref="A17:K17"/>
  </mergeCells>
  <conditionalFormatting sqref="J8:J14">
    <cfRule type="cellIs" dxfId="2" priority="2" operator="equal">
      <formula>"Veille"</formula>
    </cfRule>
    <cfRule type="cellIs" dxfId="1" priority="3" operator="equal">
      <formula>"Contrôle"</formula>
    </cfRule>
    <cfRule type="cellIs" dxfId="0" priority="4" operator="equal">
      <formula>"Danger"</formula>
    </cfRule>
  </conditionalFormatting>
  <dataValidations count="1">
    <dataValidation type="whole" error="Saisir une valeur entre 1 et 4 (cf. échelle A3.0)." sqref="C8:D14 F8:G14" xr:uid="{00000000-0002-0000-0C00-000000000000}">
      <formula1>1</formula1>
      <formula2>4</formula2>
    </dataValidation>
  </dataValidation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26" customWidth="1"/>
    <col min="3" max="3" width="38" customWidth="1"/>
    <col min="4" max="4" width="60" customWidth="1"/>
    <col min="5" max="5" width="12" customWidth="1"/>
    <col min="6" max="6" width="14" customWidth="1"/>
  </cols>
  <sheetData>
    <row r="1" spans="1:6" ht="25.5" customHeight="1" x14ac:dyDescent="0.5">
      <c r="A1" s="58" t="s">
        <v>517</v>
      </c>
      <c r="B1" s="57"/>
      <c r="C1" s="57"/>
      <c r="D1" s="57"/>
      <c r="E1" s="57"/>
      <c r="F1" s="57"/>
    </row>
    <row r="2" spans="1:6" ht="25.5" customHeight="1" x14ac:dyDescent="0.5">
      <c r="A2" s="57"/>
      <c r="B2" s="57"/>
      <c r="C2" s="57"/>
      <c r="D2" s="57"/>
      <c r="E2" s="57"/>
      <c r="F2" s="57"/>
    </row>
    <row r="4" spans="1:6" ht="87.75" customHeight="1" x14ac:dyDescent="0.5">
      <c r="A4" s="54" t="s">
        <v>518</v>
      </c>
      <c r="B4" s="55"/>
      <c r="C4" s="55"/>
      <c r="D4" s="55"/>
      <c r="E4" s="55"/>
      <c r="F4" s="55"/>
    </row>
    <row r="6" spans="1:6" ht="21.75" customHeight="1" x14ac:dyDescent="0.5">
      <c r="A6" s="66" t="s">
        <v>519</v>
      </c>
      <c r="B6" s="57"/>
      <c r="C6" s="57"/>
      <c r="D6" s="57"/>
      <c r="E6" s="57"/>
      <c r="F6" s="57"/>
    </row>
    <row r="7" spans="1:6" ht="31.5" customHeight="1" x14ac:dyDescent="0.5">
      <c r="A7" s="1" t="s">
        <v>520</v>
      </c>
      <c r="B7" s="1" t="s">
        <v>344</v>
      </c>
      <c r="C7" s="1" t="s">
        <v>345</v>
      </c>
      <c r="D7" s="1" t="s">
        <v>521</v>
      </c>
      <c r="E7" s="1" t="s">
        <v>238</v>
      </c>
      <c r="F7" s="1" t="s">
        <v>522</v>
      </c>
    </row>
    <row r="8" spans="1:6" ht="129.75" customHeight="1" x14ac:dyDescent="0.5">
      <c r="A8" s="3" t="s">
        <v>523</v>
      </c>
      <c r="B8" s="5" t="s">
        <v>352</v>
      </c>
      <c r="C8" s="5" t="s">
        <v>353</v>
      </c>
      <c r="D8" s="5" t="s">
        <v>524</v>
      </c>
      <c r="E8" s="19" t="s">
        <v>17</v>
      </c>
      <c r="F8" s="3" t="s">
        <v>240</v>
      </c>
    </row>
    <row r="9" spans="1:6" ht="129.75" customHeight="1" x14ac:dyDescent="0.5">
      <c r="A9" s="7" t="s">
        <v>525</v>
      </c>
      <c r="B9" s="8" t="s">
        <v>358</v>
      </c>
      <c r="C9" s="8" t="s">
        <v>359</v>
      </c>
      <c r="D9" s="8" t="s">
        <v>526</v>
      </c>
      <c r="E9" s="16" t="s">
        <v>10</v>
      </c>
      <c r="F9" s="7" t="s">
        <v>360</v>
      </c>
    </row>
    <row r="10" spans="1:6" ht="129.75" customHeight="1" x14ac:dyDescent="0.5">
      <c r="A10" s="3" t="s">
        <v>527</v>
      </c>
      <c r="B10" s="5" t="s">
        <v>358</v>
      </c>
      <c r="C10" s="5" t="s">
        <v>528</v>
      </c>
      <c r="D10" s="5" t="s">
        <v>529</v>
      </c>
      <c r="E10" s="16" t="s">
        <v>10</v>
      </c>
      <c r="F10" s="3" t="s">
        <v>258</v>
      </c>
    </row>
    <row r="11" spans="1:6" ht="129.75" customHeight="1" x14ac:dyDescent="0.5">
      <c r="A11" s="7" t="s">
        <v>530</v>
      </c>
      <c r="B11" s="8" t="s">
        <v>364</v>
      </c>
      <c r="C11" s="8" t="s">
        <v>531</v>
      </c>
      <c r="D11" s="8" t="s">
        <v>532</v>
      </c>
      <c r="E11" s="19" t="s">
        <v>17</v>
      </c>
      <c r="F11" s="7" t="s">
        <v>251</v>
      </c>
    </row>
    <row r="12" spans="1:6" ht="129.75" customHeight="1" x14ac:dyDescent="0.5">
      <c r="A12" s="3" t="s">
        <v>533</v>
      </c>
      <c r="B12" s="5" t="s">
        <v>372</v>
      </c>
      <c r="C12" s="5" t="s">
        <v>373</v>
      </c>
      <c r="D12" s="5" t="s">
        <v>534</v>
      </c>
      <c r="E12" s="19" t="s">
        <v>17</v>
      </c>
      <c r="F12" s="3" t="s">
        <v>262</v>
      </c>
    </row>
    <row r="13" spans="1:6" ht="129.75" customHeight="1" x14ac:dyDescent="0.5">
      <c r="A13" s="7" t="s">
        <v>535</v>
      </c>
      <c r="B13" s="8" t="s">
        <v>372</v>
      </c>
      <c r="C13" s="8" t="s">
        <v>375</v>
      </c>
      <c r="D13" s="8" t="s">
        <v>536</v>
      </c>
      <c r="E13" s="19" t="s">
        <v>17</v>
      </c>
      <c r="F13" s="7" t="s">
        <v>376</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4"/>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24" customWidth="1"/>
    <col min="3" max="3" width="40" customWidth="1"/>
    <col min="4" max="4" width="70" customWidth="1"/>
    <col min="5" max="5" width="14" customWidth="1"/>
    <col min="6" max="6" width="16" customWidth="1"/>
  </cols>
  <sheetData>
    <row r="1" spans="1:6" ht="25.5" customHeight="1" x14ac:dyDescent="0.5">
      <c r="A1" s="58" t="s">
        <v>537</v>
      </c>
      <c r="B1" s="57"/>
      <c r="C1" s="57"/>
      <c r="D1" s="57"/>
      <c r="E1" s="57"/>
      <c r="F1" s="57"/>
    </row>
    <row r="2" spans="1:6" ht="25.5" customHeight="1" x14ac:dyDescent="0.5">
      <c r="A2" s="57"/>
      <c r="B2" s="57"/>
      <c r="C2" s="57"/>
      <c r="D2" s="57"/>
      <c r="E2" s="57"/>
      <c r="F2" s="57"/>
    </row>
    <row r="4" spans="1:6" ht="109.5" customHeight="1" x14ac:dyDescent="0.5">
      <c r="A4" s="54" t="s">
        <v>538</v>
      </c>
      <c r="B4" s="55"/>
      <c r="C4" s="55"/>
      <c r="D4" s="55"/>
      <c r="E4" s="55"/>
      <c r="F4" s="55"/>
    </row>
    <row r="6" spans="1:6" ht="21.75" customHeight="1" x14ac:dyDescent="0.5">
      <c r="A6" s="66" t="s">
        <v>539</v>
      </c>
      <c r="B6" s="57"/>
      <c r="C6" s="57"/>
      <c r="D6" s="57"/>
      <c r="E6" s="57"/>
      <c r="F6" s="57"/>
    </row>
    <row r="7" spans="1:6" ht="36" customHeight="1" x14ac:dyDescent="0.5">
      <c r="A7" s="1" t="s">
        <v>467</v>
      </c>
      <c r="B7" s="1" t="s">
        <v>540</v>
      </c>
      <c r="C7" s="1" t="s">
        <v>521</v>
      </c>
      <c r="D7" s="1" t="s">
        <v>541</v>
      </c>
      <c r="E7" s="1" t="s">
        <v>542</v>
      </c>
      <c r="F7" s="1" t="s">
        <v>543</v>
      </c>
    </row>
    <row r="8" spans="1:6" ht="159.75" customHeight="1" x14ac:dyDescent="0.5">
      <c r="A8" s="3" t="s">
        <v>488</v>
      </c>
      <c r="B8" s="5" t="s">
        <v>490</v>
      </c>
      <c r="C8" s="5" t="s">
        <v>544</v>
      </c>
      <c r="D8" s="5" t="s">
        <v>545</v>
      </c>
      <c r="E8" s="42">
        <v>2.25</v>
      </c>
      <c r="F8" s="42">
        <v>1</v>
      </c>
    </row>
    <row r="9" spans="1:6" ht="159.75" customHeight="1" x14ac:dyDescent="0.5">
      <c r="A9" s="7" t="s">
        <v>471</v>
      </c>
      <c r="B9" s="8" t="s">
        <v>473</v>
      </c>
      <c r="C9" s="8" t="s">
        <v>546</v>
      </c>
      <c r="D9" s="8" t="s">
        <v>547</v>
      </c>
      <c r="E9" s="42">
        <v>1.5</v>
      </c>
      <c r="F9" s="42">
        <v>1</v>
      </c>
    </row>
    <row r="10" spans="1:6" ht="159.75" customHeight="1" x14ac:dyDescent="0.5">
      <c r="A10" s="3" t="s">
        <v>476</v>
      </c>
      <c r="B10" s="5" t="s">
        <v>477</v>
      </c>
      <c r="C10" s="5" t="s">
        <v>548</v>
      </c>
      <c r="D10" s="5" t="s">
        <v>549</v>
      </c>
      <c r="E10" s="42">
        <v>0.44</v>
      </c>
      <c r="F10" s="42">
        <v>0.33</v>
      </c>
    </row>
    <row r="11" spans="1:6" ht="159.75" customHeight="1" x14ac:dyDescent="0.5">
      <c r="A11" s="7" t="s">
        <v>497</v>
      </c>
      <c r="B11" s="8" t="s">
        <v>498</v>
      </c>
      <c r="C11" s="8" t="s">
        <v>550</v>
      </c>
      <c r="D11" s="8" t="s">
        <v>551</v>
      </c>
      <c r="E11" s="42">
        <v>0.22</v>
      </c>
      <c r="F11" s="42">
        <v>0.22</v>
      </c>
    </row>
    <row r="13" spans="1:6" ht="21.75" customHeight="1" x14ac:dyDescent="0.5">
      <c r="A13" s="66" t="s">
        <v>552</v>
      </c>
      <c r="B13" s="57"/>
      <c r="C13" s="57"/>
      <c r="D13" s="57"/>
      <c r="E13" s="57"/>
      <c r="F13" s="57"/>
    </row>
    <row r="14" spans="1:6" ht="69.75" customHeight="1" x14ac:dyDescent="0.5">
      <c r="A14" s="54" t="s">
        <v>553</v>
      </c>
      <c r="B14" s="55"/>
      <c r="C14" s="55"/>
      <c r="D14" s="55"/>
      <c r="E14" s="55"/>
      <c r="F14" s="55"/>
    </row>
  </sheetData>
  <mergeCells count="5">
    <mergeCell ref="A13:F13"/>
    <mergeCell ref="A14:F14"/>
    <mergeCell ref="A1:F2"/>
    <mergeCell ref="A6:F6"/>
    <mergeCell ref="A4:F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1"/>
  <sheetViews>
    <sheetView showGridLines="0" workbookViewId="0">
      <pane ySplit="3" topLeftCell="A4" activePane="bottomLeft" state="frozen"/>
      <selection pane="bottomLeft"/>
    </sheetView>
  </sheetViews>
  <sheetFormatPr baseColWidth="10" defaultColWidth="8.9375" defaultRowHeight="14.35" x14ac:dyDescent="0.5"/>
  <cols>
    <col min="1" max="1" width="12" customWidth="1"/>
    <col min="2" max="2" width="28" customWidth="1"/>
    <col min="3" max="3" width="70" customWidth="1"/>
  </cols>
  <sheetData>
    <row r="1" spans="1:3" ht="26" customHeight="1" x14ac:dyDescent="0.5">
      <c r="A1" s="81" t="s">
        <v>554</v>
      </c>
      <c r="B1" s="57"/>
      <c r="C1" s="57"/>
    </row>
    <row r="2" spans="1:3" ht="26" customHeight="1" x14ac:dyDescent="0.5">
      <c r="A2" s="57"/>
      <c r="B2" s="57"/>
      <c r="C2" s="57"/>
    </row>
    <row r="4" spans="1:3" ht="84" customHeight="1" x14ac:dyDescent="0.5">
      <c r="A4" s="80" t="s">
        <v>555</v>
      </c>
      <c r="B4" s="57"/>
      <c r="C4" s="57"/>
    </row>
    <row r="6" spans="1:3" ht="22" customHeight="1" x14ac:dyDescent="0.5">
      <c r="A6" s="82" t="s">
        <v>556</v>
      </c>
      <c r="B6" s="57"/>
      <c r="C6" s="57"/>
    </row>
    <row r="7" spans="1:3" ht="28" customHeight="1" x14ac:dyDescent="0.5">
      <c r="A7" s="47" t="s">
        <v>3</v>
      </c>
      <c r="B7" s="47" t="s">
        <v>4</v>
      </c>
      <c r="C7" s="47" t="s">
        <v>118</v>
      </c>
    </row>
    <row r="8" spans="1:3" ht="56" customHeight="1" x14ac:dyDescent="0.5">
      <c r="A8" s="48" t="s">
        <v>557</v>
      </c>
      <c r="B8" s="49" t="s">
        <v>558</v>
      </c>
      <c r="C8" s="43" t="s">
        <v>559</v>
      </c>
    </row>
    <row r="9" spans="1:3" ht="56" customHeight="1" x14ac:dyDescent="0.5">
      <c r="A9" s="50" t="s">
        <v>560</v>
      </c>
      <c r="B9" s="49" t="s">
        <v>561</v>
      </c>
      <c r="C9" s="43" t="s">
        <v>562</v>
      </c>
    </row>
    <row r="10" spans="1:3" ht="56" customHeight="1" x14ac:dyDescent="0.5">
      <c r="A10" s="51" t="s">
        <v>563</v>
      </c>
      <c r="B10" s="49" t="s">
        <v>564</v>
      </c>
      <c r="C10" s="43" t="s">
        <v>565</v>
      </c>
    </row>
    <row r="11" spans="1:3" ht="56" customHeight="1" x14ac:dyDescent="0.5">
      <c r="A11" s="52" t="s">
        <v>566</v>
      </c>
      <c r="B11" s="49" t="s">
        <v>567</v>
      </c>
      <c r="C11" s="43" t="s">
        <v>568</v>
      </c>
    </row>
  </sheetData>
  <mergeCells count="3">
    <mergeCell ref="A4:C4"/>
    <mergeCell ref="A1:C2"/>
    <mergeCell ref="A6:C6"/>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99"/>
  <sheetViews>
    <sheetView showGridLines="0" workbookViewId="0">
      <pane ySplit="3" topLeftCell="A353" activePane="bottomLeft" state="frozen"/>
      <selection pane="bottomLeft" activeCell="C152" sqref="C152:I152"/>
    </sheetView>
  </sheetViews>
  <sheetFormatPr baseColWidth="10" defaultColWidth="8.9375" defaultRowHeight="14.35" x14ac:dyDescent="0.5"/>
  <cols>
    <col min="1" max="1" width="4" customWidth="1"/>
    <col min="2" max="9" width="25" customWidth="1"/>
  </cols>
  <sheetData>
    <row r="1" spans="1:9" ht="26" customHeight="1" x14ac:dyDescent="0.5">
      <c r="A1" s="81" t="s">
        <v>569</v>
      </c>
      <c r="B1" s="57"/>
      <c r="C1" s="57"/>
      <c r="D1" s="57"/>
      <c r="E1" s="57"/>
      <c r="F1" s="57"/>
      <c r="G1" s="57"/>
      <c r="H1" s="57"/>
      <c r="I1" s="57"/>
    </row>
    <row r="2" spans="1:9" ht="26" customHeight="1" x14ac:dyDescent="0.5">
      <c r="A2" s="57"/>
      <c r="B2" s="57"/>
      <c r="C2" s="57"/>
      <c r="D2" s="57"/>
      <c r="E2" s="57"/>
      <c r="F2" s="57"/>
      <c r="G2" s="57"/>
      <c r="H2" s="57"/>
      <c r="I2" s="57"/>
    </row>
    <row r="4" spans="1:9" ht="140" customHeight="1" x14ac:dyDescent="0.5">
      <c r="A4" s="80" t="s">
        <v>570</v>
      </c>
      <c r="B4" s="57"/>
      <c r="C4" s="57"/>
      <c r="D4" s="57"/>
      <c r="E4" s="57"/>
      <c r="F4" s="57"/>
      <c r="G4" s="57"/>
      <c r="H4" s="57"/>
      <c r="I4" s="57"/>
    </row>
    <row r="7" spans="1:9" ht="26" customHeight="1" x14ac:dyDescent="0.5">
      <c r="A7" s="82" t="s">
        <v>571</v>
      </c>
      <c r="B7" s="57"/>
      <c r="C7" s="57"/>
      <c r="D7" s="57"/>
      <c r="E7" s="57"/>
      <c r="F7" s="57"/>
      <c r="G7" s="57"/>
      <c r="H7" s="57"/>
      <c r="I7" s="57"/>
    </row>
    <row r="53" spans="1:9" ht="24" customHeight="1" x14ac:dyDescent="0.5">
      <c r="B53" s="47" t="s">
        <v>572</v>
      </c>
      <c r="C53" s="84" t="s">
        <v>573</v>
      </c>
      <c r="D53" s="57"/>
      <c r="E53" s="57"/>
      <c r="F53" s="57"/>
      <c r="G53" s="57"/>
      <c r="H53" s="57"/>
      <c r="I53" s="57"/>
    </row>
    <row r="54" spans="1:9" ht="100" customHeight="1" x14ac:dyDescent="0.5">
      <c r="B54" s="43" t="s">
        <v>574</v>
      </c>
      <c r="C54" s="83" t="s">
        <v>575</v>
      </c>
      <c r="D54" s="57"/>
      <c r="E54" s="57"/>
      <c r="F54" s="57"/>
      <c r="G54" s="57"/>
      <c r="H54" s="57"/>
      <c r="I54" s="57"/>
    </row>
    <row r="56" spans="1:9" ht="26" customHeight="1" x14ac:dyDescent="0.5">
      <c r="A56" s="82" t="s">
        <v>576</v>
      </c>
      <c r="B56" s="57"/>
      <c r="C56" s="57"/>
      <c r="D56" s="57"/>
      <c r="E56" s="57"/>
      <c r="F56" s="57"/>
      <c r="G56" s="57"/>
      <c r="H56" s="57"/>
      <c r="I56" s="57"/>
    </row>
    <row r="102" spans="1:9" ht="24" customHeight="1" x14ac:dyDescent="0.5">
      <c r="B102" s="47" t="s">
        <v>572</v>
      </c>
      <c r="C102" s="84" t="s">
        <v>573</v>
      </c>
      <c r="D102" s="57"/>
      <c r="E102" s="57"/>
      <c r="F102" s="57"/>
      <c r="G102" s="57"/>
      <c r="H102" s="57"/>
      <c r="I102" s="57"/>
    </row>
    <row r="103" spans="1:9" ht="108" customHeight="1" x14ac:dyDescent="0.5">
      <c r="B103" s="43" t="s">
        <v>577</v>
      </c>
      <c r="C103" s="83" t="s">
        <v>578</v>
      </c>
      <c r="D103" s="57"/>
      <c r="E103" s="57"/>
      <c r="F103" s="57"/>
      <c r="G103" s="57"/>
      <c r="H103" s="57"/>
      <c r="I103" s="57"/>
    </row>
    <row r="105" spans="1:9" ht="26" customHeight="1" x14ac:dyDescent="0.5">
      <c r="A105" s="82" t="s">
        <v>579</v>
      </c>
      <c r="B105" s="57"/>
      <c r="C105" s="57"/>
      <c r="D105" s="57"/>
      <c r="E105" s="57"/>
      <c r="F105" s="57"/>
      <c r="G105" s="57"/>
      <c r="H105" s="57"/>
      <c r="I105" s="57"/>
    </row>
    <row r="151" spans="1:9" ht="24" customHeight="1" x14ac:dyDescent="0.5">
      <c r="B151" s="47" t="s">
        <v>572</v>
      </c>
      <c r="C151" s="84" t="s">
        <v>573</v>
      </c>
      <c r="D151" s="57"/>
      <c r="E151" s="57"/>
      <c r="F151" s="57"/>
      <c r="G151" s="57"/>
      <c r="H151" s="57"/>
      <c r="I151" s="57"/>
    </row>
    <row r="152" spans="1:9" ht="108" customHeight="1" x14ac:dyDescent="0.5">
      <c r="B152" s="43" t="s">
        <v>580</v>
      </c>
      <c r="C152" s="83" t="s">
        <v>581</v>
      </c>
      <c r="D152" s="57"/>
      <c r="E152" s="57"/>
      <c r="F152" s="57"/>
      <c r="G152" s="57"/>
      <c r="H152" s="57"/>
      <c r="I152" s="57"/>
    </row>
    <row r="154" spans="1:9" ht="26" customHeight="1" x14ac:dyDescent="0.5">
      <c r="A154" s="82" t="s">
        <v>582</v>
      </c>
      <c r="B154" s="57"/>
      <c r="C154" s="57"/>
      <c r="D154" s="57"/>
      <c r="E154" s="57"/>
      <c r="F154" s="57"/>
      <c r="G154" s="57"/>
      <c r="H154" s="57"/>
      <c r="I154" s="57"/>
    </row>
    <row r="200" spans="1:9" ht="24" customHeight="1" x14ac:dyDescent="0.5">
      <c r="B200" s="47" t="s">
        <v>572</v>
      </c>
      <c r="C200" s="84" t="s">
        <v>573</v>
      </c>
      <c r="D200" s="57"/>
      <c r="E200" s="57"/>
      <c r="F200" s="57"/>
      <c r="G200" s="57"/>
      <c r="H200" s="57"/>
      <c r="I200" s="57"/>
    </row>
    <row r="201" spans="1:9" ht="108" customHeight="1" x14ac:dyDescent="0.5">
      <c r="B201" s="43" t="s">
        <v>583</v>
      </c>
      <c r="C201" s="83" t="s">
        <v>584</v>
      </c>
      <c r="D201" s="57"/>
      <c r="E201" s="57"/>
      <c r="F201" s="57"/>
      <c r="G201" s="57"/>
      <c r="H201" s="57"/>
      <c r="I201" s="57"/>
    </row>
    <row r="203" spans="1:9" ht="26" customHeight="1" x14ac:dyDescent="0.5">
      <c r="A203" s="82" t="s">
        <v>585</v>
      </c>
      <c r="B203" s="57"/>
      <c r="C203" s="57"/>
      <c r="D203" s="57"/>
      <c r="E203" s="57"/>
      <c r="F203" s="57"/>
      <c r="G203" s="57"/>
      <c r="H203" s="57"/>
      <c r="I203" s="57"/>
    </row>
    <row r="249" spans="1:9" ht="24" customHeight="1" x14ac:dyDescent="0.5">
      <c r="B249" s="47" t="s">
        <v>572</v>
      </c>
      <c r="C249" s="84" t="s">
        <v>573</v>
      </c>
      <c r="D249" s="57"/>
      <c r="E249" s="57"/>
      <c r="F249" s="57"/>
      <c r="G249" s="57"/>
      <c r="H249" s="57"/>
      <c r="I249" s="57"/>
    </row>
    <row r="250" spans="1:9" ht="108" customHeight="1" x14ac:dyDescent="0.5">
      <c r="B250" s="43" t="s">
        <v>586</v>
      </c>
      <c r="C250" s="83" t="s">
        <v>587</v>
      </c>
      <c r="D250" s="57"/>
      <c r="E250" s="57"/>
      <c r="F250" s="57"/>
      <c r="G250" s="57"/>
      <c r="H250" s="57"/>
      <c r="I250" s="57"/>
    </row>
    <row r="252" spans="1:9" ht="26" customHeight="1" x14ac:dyDescent="0.5">
      <c r="A252" s="82" t="s">
        <v>588</v>
      </c>
      <c r="B252" s="57"/>
      <c r="C252" s="57"/>
      <c r="D252" s="57"/>
      <c r="E252" s="57"/>
      <c r="F252" s="57"/>
      <c r="G252" s="57"/>
      <c r="H252" s="57"/>
      <c r="I252" s="57"/>
    </row>
    <row r="298" spans="2:9" ht="24" customHeight="1" x14ac:dyDescent="0.5">
      <c r="B298" s="47" t="s">
        <v>572</v>
      </c>
      <c r="C298" s="84" t="s">
        <v>573</v>
      </c>
      <c r="D298" s="57"/>
      <c r="E298" s="57"/>
      <c r="F298" s="57"/>
      <c r="G298" s="57"/>
      <c r="H298" s="57"/>
      <c r="I298" s="57"/>
    </row>
    <row r="299" spans="2:9" ht="108" customHeight="1" x14ac:dyDescent="0.5">
      <c r="B299" s="43" t="s">
        <v>589</v>
      </c>
      <c r="C299" s="83" t="s">
        <v>590</v>
      </c>
      <c r="D299" s="57"/>
      <c r="E299" s="57"/>
      <c r="F299" s="57"/>
      <c r="G299" s="57"/>
      <c r="H299" s="57"/>
      <c r="I299" s="57"/>
    </row>
  </sheetData>
  <mergeCells count="20">
    <mergeCell ref="A1:I2"/>
    <mergeCell ref="C151:I151"/>
    <mergeCell ref="A4:I4"/>
    <mergeCell ref="C250:I250"/>
    <mergeCell ref="C200:I200"/>
    <mergeCell ref="C103:I103"/>
    <mergeCell ref="C54:I54"/>
    <mergeCell ref="C152:I152"/>
    <mergeCell ref="C201:I201"/>
    <mergeCell ref="A7:I7"/>
    <mergeCell ref="A252:I252"/>
    <mergeCell ref="C299:I299"/>
    <mergeCell ref="A56:I56"/>
    <mergeCell ref="A154:I154"/>
    <mergeCell ref="A105:I105"/>
    <mergeCell ref="C53:I53"/>
    <mergeCell ref="C102:I102"/>
    <mergeCell ref="C298:I298"/>
    <mergeCell ref="C249:I249"/>
    <mergeCell ref="A203:I203"/>
  </mergeCells>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3"/>
  <sheetViews>
    <sheetView showGridLines="0" workbookViewId="0">
      <pane ySplit="7" topLeftCell="A8" activePane="bottomLeft" state="frozen"/>
      <selection pane="bottomLeft" sqref="A1:F2"/>
    </sheetView>
  </sheetViews>
  <sheetFormatPr baseColWidth="10" defaultColWidth="8.9375" defaultRowHeight="14.35" x14ac:dyDescent="0.5"/>
  <cols>
    <col min="1" max="1" width="9" customWidth="1"/>
    <col min="2" max="2" width="28" customWidth="1"/>
    <col min="3" max="3" width="45" customWidth="1"/>
    <col min="4" max="5" width="12" customWidth="1"/>
    <col min="6" max="6" width="18" customWidth="1"/>
  </cols>
  <sheetData>
    <row r="1" spans="1:6" ht="26" customHeight="1" x14ac:dyDescent="0.5">
      <c r="A1" s="81" t="s">
        <v>591</v>
      </c>
      <c r="B1" s="57"/>
      <c r="C1" s="57"/>
      <c r="D1" s="57"/>
      <c r="E1" s="57"/>
      <c r="F1" s="57"/>
    </row>
    <row r="2" spans="1:6" ht="26" customHeight="1" x14ac:dyDescent="0.5">
      <c r="A2" s="57"/>
      <c r="B2" s="57"/>
      <c r="C2" s="57"/>
      <c r="D2" s="57"/>
      <c r="E2" s="57"/>
      <c r="F2" s="57"/>
    </row>
    <row r="4" spans="1:6" ht="72" customHeight="1" x14ac:dyDescent="0.5">
      <c r="A4" s="80" t="s">
        <v>592</v>
      </c>
      <c r="B4" s="57"/>
      <c r="C4" s="57"/>
      <c r="D4" s="57"/>
      <c r="E4" s="57"/>
      <c r="F4" s="57"/>
    </row>
    <row r="6" spans="1:6" ht="22" customHeight="1" x14ac:dyDescent="0.5">
      <c r="A6" s="82" t="s">
        <v>593</v>
      </c>
      <c r="B6" s="57"/>
      <c r="C6" s="57"/>
      <c r="D6" s="57"/>
      <c r="E6" s="57"/>
      <c r="F6" s="57"/>
    </row>
    <row r="7" spans="1:6" ht="36" customHeight="1" x14ac:dyDescent="0.5">
      <c r="A7" s="47" t="s">
        <v>594</v>
      </c>
      <c r="B7" s="47" t="s">
        <v>344</v>
      </c>
      <c r="C7" s="47" t="s">
        <v>595</v>
      </c>
      <c r="D7" s="47" t="s">
        <v>238</v>
      </c>
      <c r="E7" s="47" t="s">
        <v>596</v>
      </c>
      <c r="F7" s="47" t="s">
        <v>597</v>
      </c>
    </row>
    <row r="8" spans="1:6" ht="52" customHeight="1" x14ac:dyDescent="0.5">
      <c r="A8" s="49" t="s">
        <v>598</v>
      </c>
      <c r="B8" s="43" t="s">
        <v>352</v>
      </c>
      <c r="C8" s="43" t="s">
        <v>599</v>
      </c>
      <c r="D8" s="51" t="s">
        <v>17</v>
      </c>
      <c r="E8" s="51" t="s">
        <v>563</v>
      </c>
      <c r="F8" s="49" t="s">
        <v>600</v>
      </c>
    </row>
    <row r="9" spans="1:6" ht="52" customHeight="1" x14ac:dyDescent="0.5">
      <c r="A9" s="53" t="s">
        <v>601</v>
      </c>
      <c r="B9" s="45" t="s">
        <v>358</v>
      </c>
      <c r="C9" s="45" t="s">
        <v>602</v>
      </c>
      <c r="D9" s="52" t="s">
        <v>10</v>
      </c>
      <c r="E9" s="52" t="s">
        <v>566</v>
      </c>
      <c r="F9" s="53" t="s">
        <v>603</v>
      </c>
    </row>
    <row r="10" spans="1:6" ht="52" customHeight="1" x14ac:dyDescent="0.5">
      <c r="A10" s="49" t="s">
        <v>604</v>
      </c>
      <c r="B10" s="43" t="s">
        <v>358</v>
      </c>
      <c r="C10" s="43" t="s">
        <v>605</v>
      </c>
      <c r="D10" s="52" t="s">
        <v>10</v>
      </c>
      <c r="E10" s="51" t="s">
        <v>563</v>
      </c>
      <c r="F10" s="49" t="s">
        <v>606</v>
      </c>
    </row>
    <row r="11" spans="1:6" ht="52" customHeight="1" x14ac:dyDescent="0.5">
      <c r="A11" s="53" t="s">
        <v>607</v>
      </c>
      <c r="B11" s="45" t="s">
        <v>364</v>
      </c>
      <c r="C11" s="45" t="s">
        <v>608</v>
      </c>
      <c r="D11" s="51" t="s">
        <v>17</v>
      </c>
      <c r="E11" s="50" t="s">
        <v>560</v>
      </c>
      <c r="F11" s="53" t="s">
        <v>609</v>
      </c>
    </row>
    <row r="12" spans="1:6" ht="52" customHeight="1" x14ac:dyDescent="0.5">
      <c r="A12" s="49" t="s">
        <v>610</v>
      </c>
      <c r="B12" s="43" t="s">
        <v>372</v>
      </c>
      <c r="C12" s="43" t="s">
        <v>611</v>
      </c>
      <c r="D12" s="51" t="s">
        <v>17</v>
      </c>
      <c r="E12" s="50" t="s">
        <v>560</v>
      </c>
      <c r="F12" s="49" t="s">
        <v>609</v>
      </c>
    </row>
    <row r="13" spans="1:6" ht="52" customHeight="1" x14ac:dyDescent="0.5">
      <c r="A13" s="53" t="s">
        <v>612</v>
      </c>
      <c r="B13" s="45" t="s">
        <v>372</v>
      </c>
      <c r="C13" s="45" t="s">
        <v>613</v>
      </c>
      <c r="D13" s="51" t="s">
        <v>17</v>
      </c>
      <c r="E13" s="50" t="s">
        <v>560</v>
      </c>
      <c r="F13" s="53" t="s">
        <v>609</v>
      </c>
    </row>
  </sheetData>
  <mergeCells count="3">
    <mergeCell ref="A6:F6"/>
    <mergeCell ref="A4:F4"/>
    <mergeCell ref="A1:F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4"/>
  <sheetViews>
    <sheetView showGridLines="0" tabSelected="1" zoomScaleNormal="100" workbookViewId="0">
      <selection sqref="A1:B2"/>
    </sheetView>
  </sheetViews>
  <sheetFormatPr baseColWidth="10" defaultColWidth="8.703125" defaultRowHeight="14.35" x14ac:dyDescent="0.5"/>
  <cols>
    <col min="1" max="1" width="4" customWidth="1"/>
    <col min="2" max="2" width="100" customWidth="1"/>
  </cols>
  <sheetData>
    <row r="1" spans="1:2" ht="25.5" customHeight="1" x14ac:dyDescent="0.5">
      <c r="A1" s="58" t="s">
        <v>614</v>
      </c>
      <c r="B1" s="57"/>
    </row>
    <row r="2" spans="1:2" ht="25.5" customHeight="1" x14ac:dyDescent="0.5">
      <c r="A2" s="57"/>
      <c r="B2" s="57"/>
    </row>
    <row r="4" spans="1:2" ht="90" customHeight="1" x14ac:dyDescent="0.5">
      <c r="A4" s="54" t="s">
        <v>615</v>
      </c>
      <c r="B4" s="55"/>
    </row>
  </sheetData>
  <mergeCells count="2">
    <mergeCell ref="A1:B2"/>
    <mergeCell ref="A4:B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19</vt:i4>
      </vt:variant>
    </vt:vector>
  </HeadingPairs>
  <TitlesOfParts>
    <vt:vector size="19" baseType="lpstr">
      <vt:lpstr>Introduction</vt:lpstr>
      <vt:lpstr>A1.0 Périmètre</vt:lpstr>
      <vt:lpstr>A1.1 Missions &amp; VM</vt:lpstr>
      <vt:lpstr>A1.2 Biens supports</vt:lpstr>
      <vt:lpstr>A1.3 Échelle de gravité</vt:lpstr>
      <vt:lpstr>A1.4 Événements redoutés</vt:lpstr>
      <vt:lpstr>A2.0 Échelle de pertinence</vt:lpstr>
      <vt:lpstr>A2.1 Sources de risque</vt:lpstr>
      <vt:lpstr>A2.2 Couples SR-OV</vt:lpstr>
      <vt:lpstr>A2.3 Liens couples - ER</vt:lpstr>
      <vt:lpstr>A3.0 Critères de dangerosité</vt:lpstr>
      <vt:lpstr>A3.1 Parties prenantes</vt:lpstr>
      <vt:lpstr>A3.2 Cartographie dangerosité</vt:lpstr>
      <vt:lpstr>A3.3 Scénarios stratégiques</vt:lpstr>
      <vt:lpstr>A3.4 Mesures écosystème</vt:lpstr>
      <vt:lpstr>A4.0 Échelle vraisemblance</vt:lpstr>
      <vt:lpstr>A4.1 Graphes d'attaque</vt:lpstr>
      <vt:lpstr>A4.2 Synthèse vraisemblance</vt:lpstr>
      <vt:lpstr>A5 Traitement du risque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virgile thonnier</cp:lastModifiedBy>
  <cp:revision>0</cp:revision>
  <dcterms:created xsi:type="dcterms:W3CDTF">2026-05-16T14:58:13Z</dcterms:created>
  <dcterms:modified xsi:type="dcterms:W3CDTF">2026-05-18T16:24:06Z</dcterms:modified>
  <dc:language>en-US</dc:language>
</cp:coreProperties>
</file>