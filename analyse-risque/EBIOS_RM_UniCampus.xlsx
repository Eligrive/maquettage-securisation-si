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29"/>
  <workbookPr/>
  <mc:AlternateContent xmlns:mc="http://schemas.openxmlformats.org/markup-compatibility/2006">
    <mc:Choice Requires="x15">
      <x15ac:absPath xmlns:x15ac="http://schemas.microsoft.com/office/spreadsheetml/2010/11/ac" url="C:\Users\virgi\Documents\Cours\2A\Cyber\Analyse de risques et projet de remédiation\Projet\analyse-risque\"/>
    </mc:Choice>
  </mc:AlternateContent>
  <xr:revisionPtr revIDLastSave="0" documentId="13_ncr:1_{FA9C9BB6-D41C-49E8-AEA0-3B8CF836CAB0}" xr6:coauthVersionLast="47" xr6:coauthVersionMax="47" xr10:uidLastSave="{00000000-0000-0000-0000-000000000000}"/>
  <bookViews>
    <workbookView xWindow="-93" yWindow="-93" windowWidth="25786" windowHeight="13866" tabRatio="500" firstSheet="4" activeTab="7" xr2:uid="{00000000-000D-0000-FFFF-FFFF00000000}"/>
  </bookViews>
  <sheets>
    <sheet name="Introduction" sheetId="1" r:id="rId1"/>
    <sheet name="A1.0 Périmètre" sheetId="2" r:id="rId2"/>
    <sheet name="A1.1 Missions &amp; VM" sheetId="3" r:id="rId3"/>
    <sheet name="A1.2 Biens supports" sheetId="4" r:id="rId4"/>
    <sheet name="A1.3 Échelle de gravité" sheetId="5" r:id="rId5"/>
    <sheet name="A1.4 Événements redoutés" sheetId="6" r:id="rId6"/>
    <sheet name="A2.0 Échelle de pertinence" sheetId="7" r:id="rId7"/>
    <sheet name="A2.1 Sources de risque" sheetId="8" r:id="rId8"/>
    <sheet name="A2.2 Couples SR-OV" sheetId="9" r:id="rId9"/>
    <sheet name="A2.3 Liens couples - ER" sheetId="10" r:id="rId10"/>
    <sheet name="A3 Scénarios stratégiques" sheetId="11" r:id="rId11"/>
    <sheet name="A4 Scénarios opérationnels" sheetId="12" r:id="rId12"/>
    <sheet name="A5 Traitement du risque" sheetId="13" r:id="rId13"/>
  </sheets>
  <calcPr calcId="191029" iterateDelta="1E-4"/>
  <extLst>
    <ext xmlns:loext="http://schemas.libreoffice.org/" uri="{7626C862-2A13-11E5-B345-FEFF819CDC9F}">
      <loext:extCalcPr stringRefSyntax="ExcelA1"/>
    </ext>
  </extLst>
</workbook>
</file>

<file path=xl/calcChain.xml><?xml version="1.0" encoding="utf-8"?>
<calcChain xmlns="http://schemas.openxmlformats.org/spreadsheetml/2006/main">
  <c r="F16" i="9" l="1"/>
  <c r="F15" i="9"/>
  <c r="F14" i="9"/>
  <c r="F13" i="9"/>
  <c r="F12" i="9"/>
  <c r="F11" i="9"/>
  <c r="F10" i="9"/>
  <c r="F9" i="9"/>
  <c r="F8" i="9"/>
</calcChain>
</file>

<file path=xl/sharedStrings.xml><?xml version="1.0" encoding="utf-8"?>
<sst xmlns="http://schemas.openxmlformats.org/spreadsheetml/2006/main" count="586" uniqueCount="398">
  <si>
    <t>Analyse de risque EBIOS RM : Classeur de travail</t>
  </si>
  <si>
    <t>Projet 07 : UniCampus+   |   Cours 4CS08  |   Méthode EBIOS Risk Manager 2018 (ANSSI)</t>
  </si>
  <si>
    <t>1. Composition du groupe</t>
  </si>
  <si>
    <t>Virgile Thonnier
Timoté Lacambra
Jeremy Giudicelli
Ghislain Maugenest</t>
  </si>
  <si>
    <t>2. Méthode utilisée pour la réalisation de l'analyse de risque : les 5 ateliers EBIOS RM</t>
  </si>
  <si>
    <t>Atelier</t>
  </si>
  <si>
    <t>Intitulé</t>
  </si>
  <si>
    <t>Objet</t>
  </si>
  <si>
    <t>Sortie(s)  principale(s)</t>
  </si>
  <si>
    <t>A1</t>
  </si>
  <si>
    <t xml:space="preserve"> Portée et référentiel de sécurité</t>
  </si>
  <si>
    <t>Définir le périmètre, les missions, les valeurs métier, les biens supports, les événements redoutés (ER) et leur gravité ; lister le socle de sécurité existant.</t>
  </si>
  <si>
    <t>Portée opérationnelle et techniques
ER et niveaux de gravité</t>
  </si>
  <si>
    <t>A2</t>
  </si>
  <si>
    <t>Sources de risque</t>
  </si>
  <si>
    <t>Identifier les couples Source de risque / Objectif visé (SR/OV) et leur pertinence.</t>
  </si>
  <si>
    <t>Couples SR/OV retenus</t>
  </si>
  <si>
    <t>A3</t>
  </si>
  <si>
    <t>Scénarios stratégiques</t>
  </si>
  <si>
    <t>Cartographier les menaces de l'écosystème (parties prenantes) et bâtir des scénarios de haut niveau.</t>
  </si>
  <si>
    <t>Scénarios stratégiques avec gravité</t>
  </si>
  <si>
    <t>A4</t>
  </si>
  <si>
    <t>Scénarios opérationnels</t>
  </si>
  <si>
    <t>Décliner techniquement chaque scénario en séquence Connaître → Rentrer → Trouver → Exploiter ; coter la vraisemblance V1–V4.</t>
  </si>
  <si>
    <t>Scénarios techniques  vraisemblance</t>
  </si>
  <si>
    <t>A5</t>
  </si>
  <si>
    <t>Traitement du risque</t>
  </si>
  <si>
    <t>Placer les risques sur la matrice gravité × vraisemblance, décider du traitement, planifier les mesures.</t>
  </si>
  <si>
    <t>Plan de traitement 
Risque résiduel</t>
  </si>
  <si>
    <t>3. Plan du classeur</t>
  </si>
  <si>
    <t>Onglet</t>
  </si>
  <si>
    <t>Contenu</t>
  </si>
  <si>
    <t>État</t>
  </si>
  <si>
    <t>Introduction</t>
  </si>
  <si>
    <t>—</t>
  </si>
  <si>
    <t>Méthodologie, conventions, plan du classeur</t>
  </si>
  <si>
    <t>Stabilisé</t>
  </si>
  <si>
    <t>A1.0 Périmètre</t>
  </si>
  <si>
    <t>Cadre de l'étude, périmètres métier et technique, participants</t>
  </si>
  <si>
    <t>Rempli</t>
  </si>
  <si>
    <t>A1.1 Missions &amp; VM</t>
  </si>
  <si>
    <t>Missions, valeurs métier (nature, description)</t>
  </si>
  <si>
    <t>A1.2 Biens supports</t>
  </si>
  <si>
    <t>Biens supports par VM, descriptions, responsables</t>
  </si>
  <si>
    <t>A1.3 Échelle de gravité</t>
  </si>
  <si>
    <t>Échelle calibrée multi-dimensionnelle (G1 à G4)</t>
  </si>
  <si>
    <t>A1.4 Événements redoutés</t>
  </si>
  <si>
    <t>ER rattachés aux VM, cotation sur l'échelle</t>
  </si>
  <si>
    <t>A2.0 Échelle de pertinence</t>
  </si>
  <si>
    <t>Matrice 4×4 Motivation × Ressources → Pertinence + définitions des niveaux</t>
  </si>
  <si>
    <t>A2.1 Sources de risque</t>
  </si>
  <si>
    <t>Typologie des 5 sources de risque retenues avec profils</t>
  </si>
  <si>
    <t>A2.2 Couples SR-OV</t>
  </si>
  <si>
    <t>Couples évalués (motivation, ressources, pertinence calculée, décision)</t>
  </si>
  <si>
    <t>A2.3 Liens couples - ER</t>
  </si>
  <si>
    <t>Synthèse rapprochant les ER de A1.4 et les couples SR/OV</t>
  </si>
  <si>
    <t>A3 Scénarios stratégiques</t>
  </si>
  <si>
    <t>Parties prenantes, cartographie écosystème, scénarios haut niveau</t>
  </si>
  <si>
    <t>À produire</t>
  </si>
  <si>
    <t>A4 Scénarios opérationnels</t>
  </si>
  <si>
    <t>Scénarios techniques, vraisemblance V1–V4</t>
  </si>
  <si>
    <t>A5 Traitement du risque</t>
  </si>
  <si>
    <t>Matrice de risque, mesures, plan de remédiation, risque résiduel</t>
  </si>
  <si>
    <t>A1.0 - Cadre et périmètre de l'étude</t>
  </si>
  <si>
    <t>Sortie attendue de la partie cadrage de l'atelier 1 : description du périmètre métier et technique, et liste des participants (réels ou cibles) de l'analyse de risque.</t>
  </si>
  <si>
    <t>Éléments de cadrage</t>
  </si>
  <si>
    <t>Élément</t>
  </si>
  <si>
    <t>Description</t>
  </si>
  <si>
    <t>Objet d'étude</t>
  </si>
  <si>
    <t>Système d'information de l'université UniCampus+ tel que présenté dans le fichier Projet_07_UniCampus.md et modélisé par  la maquette déployé sur OpenStack : Établissement public d'enseignement supérieur accueillant 12 000 étudiants et 500 personnels (enseignants, administratifs, chercheurs, techniciens), réparti sur plusieurs bâtiments.</t>
  </si>
  <si>
    <t>Périmètre métier</t>
  </si>
  <si>
    <t>Les trois missions principales de l'organisme que nous couvrons dans cette analyse de risques sont :
  • M1 - Enseignement : formation initiale des 12 000 étudiants ;
  • M2 - Recherche : production scientifique des laboratoires ;
  • M3 - Administration : RH, scolarité administrative, finances.</t>
  </si>
  <si>
    <t>Périmètre technique</t>
  </si>
  <si>
    <t>Périmètre technique modélisé dans la maquette v1 : 
11 VMs sur un seul subnet (192.168.107.0/24) 
1 firewall périmétrique (`uc-fw-legacy`)
1 VPN d'accès distant (`uc-vpn-legacy`)
5 serveurs applicatifs (Moodle, mail, LDAP, RH, recherche)
1 base de données back-end RH (`uc-db-rh`)
3 postes clients (étudiant, enseignant, DSI)</t>
  </si>
  <si>
    <t>Participants à l'analyse (cibles en organisation réelle)</t>
  </si>
  <si>
    <t xml:space="preserve">  • Équipes métier : direction des études, direction de la recherche, DRH ;
  • RSSI de l'établissement ;
  • DSI : architecte réseau, administrateur systèmes, responsable IAM ;
  • Équipe de gestion documentaire (DPO).
Dans le cadre du projet 4CS08, l'analyse est portée par le groupe projet jouant l'ensemble de ces rôles.</t>
  </si>
  <si>
    <t>Cadre normatif et référentiels mobilisés</t>
  </si>
  <si>
    <t xml:space="preserve">  • Méthode EBIOS Risk Manager 2018 (ANSSI) ;
  • Guide d'hygiène informatique ANSSI (11 règles citées dans la fiche projet : R4, R7, R8, R9, R10, R13, R22, R25, R31, R35, R40) ;
  • Référentiel RGPD pour les données personnelles (étudiants et personnels) ;
  • ISO/IEC 27005 pour le processus général de gestion des risques.</t>
  </si>
  <si>
    <t>A1.1 - Missions et valeurs métier</t>
  </si>
  <si>
    <t>Pour chaque mission de l'objet d'étude, lister les valeurs métier (VM) qui la portent. Nature : Processus (activité) ou Information (donnée). Une VM peut être de nature mixte. Convention de codification : Mx pour les missions, VMx.y pour les valeurs métier (x = numéro de mission).</t>
  </si>
  <si>
    <t>Tableau des missions et valeurs métier</t>
  </si>
  <si>
    <t>Code mission</t>
  </si>
  <si>
    <t>Mission</t>
  </si>
  <si>
    <t>Valeur métier</t>
  </si>
  <si>
    <t>Nature</t>
  </si>
  <si>
    <t>M1</t>
  </si>
  <si>
    <t>Enseignement  
Assurer la formation des 12000 étudiants et la diffusion des savoirs académiques.</t>
  </si>
  <si>
    <t>VM1.1 : Diffusion des contenus pédagogiques</t>
  </si>
  <si>
    <t>Processus</t>
  </si>
  <si>
    <t>Activité de mise à disposition des cours, supports, devoirs, exercices, corrigés et ressources documentaires aux étudiants, organisée par UE et par promotion, avec dépôt des productions étudiantes (devoirs, examens écrits).</t>
  </si>
  <si>
    <t>VM1.2 : Évaluation et notation</t>
  </si>
  <si>
    <t>Activité de notation des productions étudiantes, calcul des moyennes, gestion des sessions d'examens et des jurys.</t>
  </si>
  <si>
    <t>VM1.3 : Résultats académiques</t>
  </si>
  <si>
    <t>Information</t>
  </si>
  <si>
    <t>Notes individuelles, moyennes, validations d'UE, attestations, diplômes : informations à très forte exigence d'intégrité et d'authenticité (opposabilité).</t>
  </si>
  <si>
    <t>VM1.4 : Communication pédagogique</t>
  </si>
  <si>
    <t>Échanges quotidiens entre enseignants, étudiants et services de scolarité via messagerie et listes de diffusion (annonces, convocations, conventions).</t>
  </si>
  <si>
    <t>VM1.5 : Accès aux ressources documentaires</t>
  </si>
  <si>
    <t>Accès des étudiants, enseignants et chercheurs à la bibliothèque numérique : bases bibliographiques, revues scientifiques, ouvrages en ligne, archives ouvertes. NON INSTRUMENTÉE DANS LA MAQUETTE V1 et déclarée pour complétude du périmètre métier — service généralement externalisé via Couperin / Cairn / EBSCO, donc dépendant d'une partie prenante externe qui sera traitée à l'atelier 3.</t>
  </si>
  <si>
    <t>M2</t>
  </si>
  <si>
    <t>Recherche 
Produire, partager et diffuser de la connaissance scientifique au sein des laboratoires, en collaboration avec des partenaires académiques et industriels.</t>
  </si>
  <si>
    <t>VM2.1 : Conduite des activités de recherche</t>
  </si>
  <si>
    <t>Activité scientifique réalisée par les enseignants-chercheurs et chercheurs : conception d'expériences, calcul scientifique (notebooks, simulations), traitement et analyse de données.</t>
  </si>
  <si>
    <t>VM2.2 : Patrimoine scientifique</t>
  </si>
  <si>
    <t>Données expérimentales brutes et traitées, codes et notebooks, articles en cours de rédaction, résultats préliminaires non publiés, antériorités brevetables. Confidentialité critique.</t>
  </si>
  <si>
    <t>VM2.3 : Collaboration et diffusion scientifique</t>
  </si>
  <si>
    <t>Échanges avec partenaires académiques (laboratoires associés) et industriels (financements, contrats de recherche), publications, dépôts de brevets, communications scientifiques.</t>
  </si>
  <si>
    <t>M3</t>
  </si>
  <si>
    <t>Administration 
Gérer les ressources humaines (paie, contrats), la scolarité administrative et les fonctions financières de l'établissement.</t>
  </si>
  <si>
    <t>VM3.1 : Gestion des ressources humaines</t>
  </si>
  <si>
    <t>Activité administrative comprenant : production de la paie mensuelle, gestion des contrats de travail, suivi des carrières, gestion des absences et congés, tenue des dossiers individuels du personnel.</t>
  </si>
  <si>
    <t>VM3.2 : Données personnelles et contractuelles</t>
  </si>
  <si>
    <t>Données personnelles (identité, NIR, RIB, adresse, situation familiale) et contractuelles (salaire, grade, ancienneté) des 500 personnels. Données soumises au RGPD avec base légale d'exécution du contrat de travail.</t>
  </si>
  <si>
    <t>VM3.3 : Gestion administrative des étudiants (scolarité)</t>
  </si>
  <si>
    <t>Inscriptions administratives, gestion des conventions de stage, des bourses, des certificats de scolarité, des transferts de dossier. NON INSTRUMENTÉE DANS LA MAQUETTE V1 et déclarée pour complétude du périmètre métier.</t>
  </si>
  <si>
    <t>VM3.4 : Gestion financière et comptable</t>
  </si>
  <si>
    <t>Comptabilité générale, traitement des dépenses et recettes, gestion des marchés publics, relations avec l'agent comptable. NON INSTRUMENTÉE DANS LA MAQUETTE V1  et déclarée pour complétude du périmètre métier.</t>
  </si>
  <si>
    <t>A1.2 - Biens supports</t>
  </si>
  <si>
    <t>Pour chaque valeur métier, identifier les biens supports (systèmes, applications, réseaux, postes, locaux, contrats…) qui la portent. Un même bien support peut servir plusieurs VM (« transverse »). Le responsable est l'entité ou la personne (interne ou externe) en charge de l'exploitation du bien.</t>
  </si>
  <si>
    <t>Tableau des biens supports</t>
  </si>
  <si>
    <t>Code BS</t>
  </si>
  <si>
    <t>Dénomination</t>
  </si>
  <si>
    <t>VM associée(s)</t>
  </si>
  <si>
    <t>Responsable</t>
  </si>
  <si>
    <t>Interne / Externe</t>
  </si>
  <si>
    <t>BS01</t>
  </si>
  <si>
    <t>Plateforme Moodle (`uc-srv-moodle`)</t>
  </si>
  <si>
    <t>Serveur applicatif Apache + PHP avec base MariaDB locale (instance liée à 127.0.0.1), hébergeant les espaces de cours, le dépôt de devoirs, les modules d'évaluation. Exposé en façade Internet via HTTP.</t>
  </si>
  <si>
    <t>VM1.1, VM1.2</t>
  </si>
  <si>
    <t>DSI</t>
  </si>
  <si>
    <t>Interne</t>
  </si>
  <si>
    <t>BS02</t>
  </si>
  <si>
    <t>Base de données Moodle (intégrée à `uc-srv-moodle`)</t>
  </si>
  <si>
    <t>Instance `mariadb-server` locale stockant les comptes utilisateurs (table `mdl_user`, hash bcrypt) et les notes (tables `mdl_grade_*`). Bind sur la boucle locale uniquement.</t>
  </si>
  <si>
    <t>VM1.3</t>
  </si>
  <si>
    <t>BS03</t>
  </si>
  <si>
    <t>Serveur de messagerie (`uc-srv-mail`)</t>
  </si>
  <si>
    <t>Postfix (SMTP/25), Dovecot (IMAP/143, POP3/110), comptes Unix locaux + Dovecot, hash crypt. Exposé en façade Internet pour SMTP et IMAP.</t>
  </si>
  <si>
    <t>VM1.4, VM2.3, VM3.1 (transverse)</t>
  </si>
  <si>
    <t>BS04</t>
  </si>
  <si>
    <t>Annuaire d'identité LDAP (`uc-srv-ldap`)</t>
  </si>
  <si>
    <t>OpenLDAP (slapd), suffix `dc=unicampus,dc=local`, OUs `people` et `groups`. Référentiel des comptes étudiants, enseignants, chercheurs, administratifs et DSI. Bind anonyme autorisé, TLS non configuré.</t>
  </si>
  <si>
    <t>Transverse (M1, M2, M3)</t>
  </si>
  <si>
    <t>BS05</t>
  </si>
  <si>
    <t>Serveur de calcul et stockage de recherche (`uc-calc-recherche`)</t>
  </si>
  <si>
    <t>Cumule : NFS (port 2049 + rpcbind 111) et Samba (445, 139) pour le partage de fichiers scientifiques, Jupyter (8888) pour les notebooks, PostgreSQL local (127.0.0.1:5432) pour les bases scientifiques.</t>
  </si>
  <si>
    <t>VM2.1, VM2.2</t>
  </si>
  <si>
    <t>DSI + Laboratoires (consommateurs)</t>
  </si>
  <si>
    <t>BS06</t>
  </si>
  <si>
    <t>Application web RH (`uc-web-rh`)</t>
  </si>
  <si>
    <t>Application Apache + PHP exposant l'interface de gestion RH, communiquant avec `uc-db-rh` sur le port 3306. Pas d'exposition Internet directe : accessible uniquement depuis le réseau interne.</t>
  </si>
  <si>
    <t>VM3.1</t>
  </si>
  <si>
    <t>BS07</t>
  </si>
  <si>
    <t>Base de données RH (`uc-db-rh`)</t>
  </si>
  <si>
    <t>Instance MariaDB stockant les comptes (hash SHA1, sans politique de mot de passe) et les données RH des 500 personnels. Écoute sur toutes les interfaces (`0.0.0.0:3306`).</t>
  </si>
  <si>
    <t>VM3.2</t>
  </si>
  <si>
    <t>BS08</t>
  </si>
  <si>
    <t>Poste étudiant (`uc-poste-etu`)</t>
  </si>
  <si>
    <t>Poste de salle informatique (Kali Linux dans la maquette pour démonstration). Connecté en DHCP sur le réseau campus.</t>
  </si>
  <si>
    <t>VM1.1, VM1.4</t>
  </si>
  <si>
    <t>DSI + utilisateur étudiant</t>
  </si>
  <si>
    <t>BS09</t>
  </si>
  <si>
    <t>Poste enseignant et enseignant-chercheur (`uc-poste-prof`)</t>
  </si>
  <si>
    <t>Poste de travail Ubuntu Desktop 22.04. Cumule les rôles enseignant et enseignant-chercheur (mêmes credentials Moodle et recherche)</t>
  </si>
  <si>
    <t>VM1.1, VM1.2, VM2.1, VM2.2, VM1.4</t>
  </si>
  <si>
    <t>DSI + utilisateur enseignant</t>
  </si>
  <si>
    <t>BS10</t>
  </si>
  <si>
    <t>Poste administratif et DSI (`uc-poste-dsi`)</t>
  </si>
  <si>
    <t>Poste de travail Ubuntu Desktop 22.04 cumulant les rôles administration et DSI. Stocke en clair la clé SSH privée d'administration (`/home/ubuntu/.ssh/`). Fusion explicite de `uc-poste-admin` et du poste DSI dans la maquette v1.</t>
  </si>
  <si>
    <t>VM3.1 + administration transverse</t>
  </si>
  <si>
    <t>DSI + services administratifs</t>
  </si>
  <si>
    <t>BS11</t>
  </si>
  <si>
    <t>Passerelle périmétrique (`uc-fw-legacy`)</t>
  </si>
  <si>
    <t>Pare-feu historique Debian 10 avec iptables et `net.ipv4.ip_forward=1`. Politique INPUT/FORWARD/OUTPUT en ACCEPT, tables vidées, règle résiduelle d'écoute 8080/TCP. Floating IP exposant SSH d'administration.</t>
  </si>
  <si>
    <t>BS12</t>
  </si>
  <si>
    <t>Accès distant VPN (`uc-vpn-legacy`)</t>
  </si>
  <si>
    <t>Serveur VPN Ubuntu 22.04 / `pptpd` (port 1723/TCP + GRE proto 47). Authentification CHAP via `/etc/ppp/chap-secrets`, compte partagé `campus` / `unicampus2024`, chiffrement MPPE-128 (RC4 déprécié), aucun MFA.</t>
  </si>
  <si>
    <t>VM2.1, VM2.3 (recherche) ; potentiellement transverse pour le télétravail</t>
  </si>
  <si>
    <t>BS13</t>
  </si>
  <si>
    <t>Réseau campus (`uc-net-campus`)</t>
  </si>
  <si>
    <t>Unique sous-réseau interne : 192.168.107.0/24, gateway 192.168.107.1, DHCP 192.168.107.100–200. Aucun cloisonnement (étudiants, enseignants, serveurs, recherche partagent le même VLAN).</t>
  </si>
  <si>
    <t>A1.3 - Échelle de gravité (G1 à G4)</t>
  </si>
  <si>
    <t>Échelle calibrée pour UniCampus+ selon les axes de la slide 21 du cours : impact sur les missions/activités, sur les personnes et données, sur l'image et la gouvernance, financier, juridique. Les seuils numériques sont indicatifs et doivent être validés par la direction lors de l'analyse réelle. Cette échelle est utilisée à l'atelier 1 pour coter les événements redoutés et à l'atelier 3 pour les scénarios stratégiques.</t>
  </si>
  <si>
    <t>Échelle de gravité multi-dimensionnelle</t>
  </si>
  <si>
    <t>Niveau</t>
  </si>
  <si>
    <t>Libellé</t>
  </si>
  <si>
    <t>Missions / activité</t>
  </si>
  <si>
    <t>Personnes &amp; données</t>
  </si>
  <si>
    <t>Image &amp; gouvernance</t>
  </si>
  <si>
    <t>Finances</t>
  </si>
  <si>
    <t>Juridique</t>
  </si>
  <si>
    <t>G4</t>
  </si>
  <si>
    <t>Critique - survie menacée</t>
  </si>
  <si>
    <t>Arrêt &gt; 1 semaine d'un service vital (Moodle en période d'examens, paie) OU perte irrémédiable de données</t>
  </si>
  <si>
    <t>Fuite &gt; 1 000 personnes OU données sensibles (NIR, santé, RIB) OU atteinte à l'intégrité physique</t>
  </si>
  <si>
    <t>Décision de fermeture par la tutelle, mise sous tutelle, démission du président</t>
  </si>
  <si>
    <t>&gt; 1 M€ ou &gt; 4 % du budget annuel</t>
  </si>
  <si>
    <t>Sanction CNIL majeure, plaintes pénales massives</t>
  </si>
  <si>
    <t>G3</t>
  </si>
  <si>
    <t>Grave - mode très dégradé</t>
  </si>
  <si>
    <t>Indisponibilité 1 à 7 jours d'un service critique ; perte de données récupérables avec effort</t>
  </si>
  <si>
    <t>Fuite 100 à 1 000 personnes OU données personnelles ordinaires d'identification</t>
  </si>
  <si>
    <t>Couverture presse nationale, perte de confiance partenaires industriels ou ministère</t>
  </si>
  <si>
    <t>100 k€ – 1 M€</t>
  </si>
  <si>
    <t>Sanction CNIL significative, contentieux RH ou étudiant</t>
  </si>
  <si>
    <t>G2</t>
  </si>
  <si>
    <t>Significative - mode dégradé</t>
  </si>
  <si>
    <t>Indisponibilité &lt; 24 h, contournements possibles</t>
  </si>
  <si>
    <t>Fuite &lt; 100 personnes, données non sensibles</t>
  </si>
  <si>
    <t>Communication interne nécessaire, plaintes localisées</t>
  </si>
  <si>
    <t>10 k€ – 100 k€</t>
  </si>
  <si>
    <t>Notification CNIL simple, pas de sanction prévisible</t>
  </si>
  <si>
    <t>G1</t>
  </si>
  <si>
    <t>Mineure - pas d'impact opérationnel</t>
  </si>
  <si>
    <t>Incident résorbé sans perte de service utilisateur</t>
  </si>
  <si>
    <t>Aucune fuite ou fuite sans donnée personnelle</t>
  </si>
  <si>
    <t>Aucun impact externe</t>
  </si>
  <si>
    <t>&lt; 10 k€</t>
  </si>
  <si>
    <t>Aucun</t>
  </si>
  <si>
    <t>Référence : slide 27 du cours 4CS08 (échelle de sévérité EBIOS RM) ; les libellés G1 Mineure / G2 Significative / G3 Grave / G4 Critique sont ceux de la méthode ANSSI. Les colonnes Missions, Personnes, Image, Finances, Juridique déclinent les six axes de répercussion de la slide 21 (image et gouvernance fusionnées ici pour la lisibilité).</t>
  </si>
  <si>
    <t>A1.4 - Événements redoutés et niveau de gravité</t>
  </si>
  <si>
    <t>Liste des événements redoutés (ER) identifiés au regard des valeurs métier listées en A1.1 et cotés sur l'échelle de gravité de A1.3. Chaque ER est formulé en termes métier (sans description technique) ; les scénarios techniques associés sont produits à l'atelier 4. Les catégories d'impact sont issues des six axes de répercussion EBIOS RM (missions, personnes, gouvernance, finances, juridique, image), enrichis ici de la catégorie « patrimoine intellectuel » pour la mission Recherche.</t>
  </si>
  <si>
    <t>Liste des événements redoutés</t>
  </si>
  <si>
    <t>Code ER</t>
  </si>
  <si>
    <t>Événement redouté</t>
  </si>
  <si>
    <t>Catégories d'impact</t>
  </si>
  <si>
    <t>Gravité</t>
  </si>
  <si>
    <t>M1 - VM1.2 / VM1.3
Évaluation et résultats académiques</t>
  </si>
  <si>
    <t>ER03</t>
  </si>
  <si>
    <t>Altération frauduleuse des notes, moyennes ou diplômes</t>
  </si>
  <si>
    <t>• Impacts sur les missions et services de l'organisme
• Impacts sur l'image et la confiance
• Impacts juridiques (contestation des diplômes, contentieux étudiants)</t>
  </si>
  <si>
    <t>M1 - VM1.1 / VM1.4
Services pédagogiques numériques (plateforme et messagerie)</t>
  </si>
  <si>
    <t>ER04</t>
  </si>
  <si>
    <t>Interruption de l'accès aux services pédagogiques pendant plus de 24 h, notamment en période d'examens</t>
  </si>
  <si>
    <t>• Impacts sur les missions et services de l'organisme
• Impacts sur l'image et la confiance</t>
  </si>
  <si>
    <t>ER08</t>
  </si>
  <si>
    <t>Détournement de la messagerie institutionnelle pour des campagnes externes malveillantes (phishing, spam)</t>
  </si>
  <si>
    <t>• Impacts sur l'image et la confiance</t>
  </si>
  <si>
    <t>M2 - VM2.2
Patrimoine scientifique</t>
  </si>
  <si>
    <t>ER02</t>
  </si>
  <si>
    <t>Fuite des données et résultats de recherche de l'établissement</t>
  </si>
  <si>
    <t>• Impacts sur le patrimoine intellectuel
• Impacts financiers (brevets compromis, contrats partenaires rompus)
• Impacts sur l'image et la confiance (partenaires académiques et industriels)</t>
  </si>
  <si>
    <t>ER09</t>
  </si>
  <si>
    <t>Perte ou destruction définitive des données et résultats de recherche</t>
  </si>
  <si>
    <t>• Impacts sur les missions et services de l'organisme
• Impacts sur le patrimoine intellectuel
• Impacts financiers (engagements ANR / européens compromis)</t>
  </si>
  <si>
    <t>M3 - VM3.2
Données personnelles et contractuelles</t>
  </si>
  <si>
    <t>ER01</t>
  </si>
  <si>
    <t>Fuite massive des données personnelles des étudiants et personnels (identité, NIR, RIB, dossiers, notes)</t>
  </si>
  <si>
    <t>• Impacts sur les personnes (atteinte à la vie privée)
• Impacts juridiques (sanction RGPD / CNIL, notification 72 h)
• Impacts sur l'image et la confiance
• Impacts financiers (sanction administrative, indemnisations)</t>
  </si>
  <si>
    <t>M3 - VM3.1
Gestion des ressources humaines</t>
  </si>
  <si>
    <t>ER05</t>
  </si>
  <si>
    <t>Altération frauduleuse de la paie et des données de gestion RH</t>
  </si>
  <si>
    <t>• Impacts sur les missions et services de l'organisme
• Impacts financiers (paie détournée ou erronée)
• Impacts juridiques (contentieux RH)
• Impacts sur les personnes (retard ou perte de rémunération)</t>
  </si>
  <si>
    <t>Transverse
Valeurs métier de M1, M2 et M3</t>
  </si>
  <si>
    <t>ER06</t>
  </si>
  <si>
    <t>Interruption massive et simultanée de l'ensemble des services numériques de l'établissement</t>
  </si>
  <si>
    <t>• Impacts sur les missions et services de l'organisme
• Impacts financiers (coût de remédiation, perte d'exploitation)
• Impacts sur l'image et la confiance
• Impacts juridiques (selon les données affectées)</t>
  </si>
  <si>
    <t>ER07</t>
  </si>
  <si>
    <t>Usurpation d'identité d'un personnel ou enseignant (événement pivot vers d'autres ER)</t>
  </si>
  <si>
    <t>Note : la gravité de ER04 est calibrée à G3 hors période d'examens et G4 pendant une session d'examens (basculement d'axe « Missions / activité » par franchissement du seuil G4 « arrêt d'un service vital »).</t>
  </si>
  <si>
    <t>A2.0 - Échelle de pertinence des couples SR/OV</t>
  </si>
  <si>
    <t>Matrice de référence issue de la slide 31 du cours, permettant de déduire la pertinence d'un couple Source de risque / Objectif visé à partir de deux paramètres : la motivation de la source à atteindre son objectif et les ressources dont elle dispose. La pertinence prend l'une des quatre valeurs Peu pertinent / Moyennement pertinent / Plutôt pertinent / Très pertinent. Cette matrice est utilisée par formule dans la feuille A2.2 Couples SR/OV pour garantir la cohérence des évaluations.</t>
  </si>
  <si>
    <t>Matrice Motivation × Ressources → Pertinence</t>
  </si>
  <si>
    <t>RESSOURCES (ressources financières, compétences cyber, outillage, temps)</t>
  </si>
  <si>
    <t>MOTIVATION</t>
  </si>
  <si>
    <t>Ressources limitées</t>
  </si>
  <si>
    <t>Ressources significatives</t>
  </si>
  <si>
    <t>Ressources importantes</t>
  </si>
  <si>
    <t>Ressources illimitées</t>
  </si>
  <si>
    <t>Fortement motivé</t>
  </si>
  <si>
    <t>Moyennement pertinent</t>
  </si>
  <si>
    <t>Plutôt pertinent</t>
  </si>
  <si>
    <t>Très pertinent</t>
  </si>
  <si>
    <t>Assez motivé</t>
  </si>
  <si>
    <t>Peu motivé</t>
  </si>
  <si>
    <t>Peu pertinent</t>
  </si>
  <si>
    <t>Très peu motivé</t>
  </si>
  <si>
    <t>Définition des niveaux de motivation</t>
  </si>
  <si>
    <t>Définition</t>
  </si>
  <si>
    <t>Enjeu personnel direct, gain financier élevé, idéologie forte, intérêt stratégique majeur. La source poursuivra son objectif coûte que coûte.</t>
  </si>
  <si>
    <t>Enjeu réel mais non vital. La source poursuivra son objectif si l'opportunité s'offre, mais pas à tout prix.</t>
  </si>
  <si>
    <t>Intérêt opportuniste, défi ponctuel, curiosité. La source attaque si l'attaque est facile, sinon abandonne.</t>
  </si>
  <si>
    <t>Pas d'intérêt direct envers l'objet d'étude. L'organisation pourrait être affectée comme dommage collatéral d'une attaque non ciblée.</t>
  </si>
  <si>
    <t>Définition des niveaux de ressources</t>
  </si>
  <si>
    <t>Outillage standard (Kali, scripts publics), compétences faibles à moyennes, temps disponible limité, pas de ressources financières dédiées à l'attaque.</t>
  </si>
  <si>
    <t>Outillage avancé, compétences intermédiaires à fortes, temps disponible important. Profil typique : groupe organisé sans soutien étatique, insider qualifié, hacktiviste structuré.</t>
  </si>
  <si>
    <t>Infrastructure d'attaque dédiée (C2, kits sur-mesure), compétences fortes, ressources financières conséquentes. Profil typique : groupe cybercriminel organisé (RaaS).</t>
  </si>
  <si>
    <t>Capacités étatiques type APT : 0-days, ressources humaines et financières quasi sans limite, opérations longue durée, supply-chain attacks possibles.</t>
  </si>
  <si>
    <t>Définition des niveaux de pertinence et décision associée</t>
  </si>
  <si>
    <t>Pertinence</t>
  </si>
  <si>
    <t>Signification</t>
  </si>
  <si>
    <t>Décision suggérée</t>
  </si>
  <si>
    <t>Couple théoriquement possible mais peu susceptible de se concrétiser : motivation faible et/ou ressources insuffisantes.</t>
  </si>
  <si>
    <t>Écarté</t>
  </si>
  <si>
    <t>Couple plausible mais non prioritaire. Mérite d'être surveillé pour détecter une évolution.</t>
  </si>
  <si>
    <t>Surveillance</t>
  </si>
  <si>
    <t>Couple probable à intégrer dans l'analyse des scénarios stratégiques (atelier 3).</t>
  </si>
  <si>
    <t>Retenu</t>
  </si>
  <si>
    <t>Couple hautement probable à intégrer prioritairement dans les scénarios stratégiques.</t>
  </si>
  <si>
    <t>A2.1 - Sources de risque</t>
  </si>
  <si>
    <t>Typologie des sources de risque retenues pour UniCampus+</t>
  </si>
  <si>
    <t>Code SR</t>
  </si>
  <si>
    <t>Profil</t>
  </si>
  <si>
    <t>Description et profil sociologique</t>
  </si>
  <si>
    <t>Capacités typiques</t>
  </si>
  <si>
    <t>SR-A</t>
  </si>
  <si>
    <t>Étudiant malveillant</t>
  </si>
  <si>
    <t>Étudiant inscrit à UniCampus+. Profil hétérogène sur 12 000 individus : une fraction non négligeable dispose de compétences cyber réelles (Master Info, double cursus, autoformation). Bénéficie d'un accès physique au campus et au WiFi étudiants. Motivation typiquement personnelle (notes, examens) ou de défi.</t>
  </si>
  <si>
    <t>Motivation variable selon l'OV ; ressources globalement significatives (compétences disponibles, temps illimité, accès interne).</t>
  </si>
  <si>
    <t>SR-B</t>
  </si>
  <si>
    <t>Cybercriminel organisé</t>
  </si>
  <si>
    <t>Externe</t>
  </si>
  <si>
    <t>Groupe cybercriminel à objectif financier (ransomware-as-a-service, revente de données). Cible opportuniste : UniCampus+ représente une cible attractive (budget public, données nombreuses, sécurité historiquement faible dans l'ESR français).</t>
  </si>
  <si>
    <t>Motivation forte (gain financier) ; ressources importantes (kits ransomware matures, infrastructure C2).</t>
  </si>
  <si>
    <t>SR-C</t>
  </si>
  <si>
    <t>Acteur étatique / concurrent (APT)</t>
  </si>
  <si>
    <t>Service de renseignement étranger ou concurrent industriel ciblant le patrimoine scientifique d'UniCampus+. Pertinence dépendant du caractère stratégique des recherches conduites (dual-use, IA, biotech, cryptographie…).</t>
  </si>
  <si>
    <t>Motivation modérée à forte selon les domaines de recherche ; ressources illimitées (APT, supply-chain, 0-days).</t>
  </si>
  <si>
    <t>SR-D</t>
  </si>
  <si>
    <t>Hacktiviste</t>
  </si>
  <si>
    <t>Individu ou collectif motivé par une cause idéologique (transparence, justice sociale, animaux de laboratoire, partenariats industriels controversés). Capable d'attaques médiatisées (défacement, fuites volontaires).</t>
  </si>
  <si>
    <t>Motivation variable selon les causes pertinentes vis-à-vis d'UniCampus+ ; ressources significatives (compétences réelles, outillage public et privé).</t>
  </si>
  <si>
    <t>SR-E</t>
  </si>
  <si>
    <t>Personnel mécontent ou ex-personnel</t>
  </si>
  <si>
    <t>Interne ou ex-interne</t>
  </si>
  <si>
    <t>Membre ou ancien membre du personnel administratif, enseignant ou DSI, agissant par vengeance, fraude personnelle ou en réaction à un licenciement, une sanction ou un conflit. Bénéficie d'un accès légitime ou résiduel (compte non révoqué) et d'une connaissance fine du SI.</t>
  </si>
  <si>
    <t>Motivation modérée à forte selon le contexte (fraude RH, vengeance) ; ressources significatives (accès interne, connaissance du SI).</t>
  </si>
  <si>
    <t>A2.2 - Couples Source de risque / Objectif visé</t>
  </si>
  <si>
    <t>Tableau des couples SR/OV évalués pour UniCampus+. Pour chaque couple, la pertinence est calculée par formule INDEX/MATCH depuis la matrice définie en A2.0 — pour modifier l'évaluation, changer Motivation et/ou Ressources via les listes déroulantes et la pertinence se met à jour automatiquement. La décision (Retenu / Surveillance / Écarté) suit en principe la pertinence (Plutôt et Très pertinent → Retenu ; Moyennement → Surveillance ; Peu → Écarté) mais peut être ajustée à dire d'expert. La colonne ER ciblé(s) fait le lien avec A1.4 et prépare A2.3.</t>
  </si>
  <si>
    <t>Liste des couples SR/OV évalués</t>
  </si>
  <si>
    <t>Code couple</t>
  </si>
  <si>
    <t>Source de risque</t>
  </si>
  <si>
    <t>Objectif visé</t>
  </si>
  <si>
    <t>Motivation</t>
  </si>
  <si>
    <t>Ressources</t>
  </si>
  <si>
    <t>Pertinence (calculée)</t>
  </si>
  <si>
    <t>Décision</t>
  </si>
  <si>
    <t>ER ciblé(s)</t>
  </si>
  <si>
    <t>C01</t>
  </si>
  <si>
    <t>SR-A Étudiant malveillant</t>
  </si>
  <si>
    <t>Compromettre les résultats académiques (modifier notes, voler sujets d'examen)</t>
  </si>
  <si>
    <t>C02</t>
  </si>
  <si>
    <t>Sabotage opportuniste (défi, curiosité, perturbation d'une session d'examens)</t>
  </si>
  <si>
    <t>ER04, ER08</t>
  </si>
  <si>
    <t>C03</t>
  </si>
  <si>
    <t>SR-B Cybercriminel organisé</t>
  </si>
  <si>
    <t>Extorquer une rançon par chiffrement de l'infrastructure</t>
  </si>
  <si>
    <t>ER06, ER04</t>
  </si>
  <si>
    <t>C04</t>
  </si>
  <si>
    <t>Revendre les données personnelles des étudiants et personnels sur le marché noir</t>
  </si>
  <si>
    <t>C05</t>
  </si>
  <si>
    <t>SR-C Acteur étatique / concurrent</t>
  </si>
  <si>
    <t>Exfiltrer le patrimoine scientifique stratégique des laboratoires</t>
  </si>
  <si>
    <t>C06</t>
  </si>
  <si>
    <t>SR-D Hacktiviste</t>
  </si>
  <si>
    <t>Publier des données personnelles pour discréditer l'institution</t>
  </si>
  <si>
    <t>C07</t>
  </si>
  <si>
    <t>Défacer la plateforme Moodle ou saboter l'image institutionnelle</t>
  </si>
  <si>
    <t>C08</t>
  </si>
  <si>
    <t>SR-E Personnel mécontent ou ex-personnel</t>
  </si>
  <si>
    <t>Détourner la paie ou frauder le système de gestion RH</t>
  </si>
  <si>
    <t>C09</t>
  </si>
  <si>
    <t>Détruire ou altérer des données par vengeance</t>
  </si>
  <si>
    <t>ER05, ER09</t>
  </si>
  <si>
    <t>A2.3 - Liens entre les couples SR/OV et les événements redoutés</t>
  </si>
  <si>
    <t>Synthèse rapprochant les événements redoutés de A1.4 et les couples SR/OV de A2.2 — équivalent du visuel de la slide 32 du cours. Pour chaque ER, on liste les couples qui le portent avec leur pertinence et leur décision. Cette synthèse alimente directement l'atelier 3 : seuls les couples Retenus sont déclinés en scénarios stratégiques. ER07 (usurpation d'identité) n'est associé à aucun couple en propre car il s'agit d'un événement pivot, étape intermédiaire dans la majorité des couples opérants (notamment C01, C03, C05, C08).</t>
  </si>
  <si>
    <t>Couples SR/OV portant chaque événement redouté (triés par gravité descendante)</t>
  </si>
  <si>
    <t>Couple SR/OV</t>
  </si>
  <si>
    <t>Fuite massive des données personnelles des étudiants et personnels</t>
  </si>
  <si>
    <t>SR-B Cybercriminel × Revente de données personnelles</t>
  </si>
  <si>
    <t>SR-D Hacktiviste × Publication de données pour discrédit</t>
  </si>
  <si>
    <t>Interruption massive et simultanée de l'ensemble des services numériques</t>
  </si>
  <si>
    <t>SR-B Cybercriminel × Extorsion par rançongiciel</t>
  </si>
  <si>
    <t>Fuite des données et résultats de recherche</t>
  </si>
  <si>
    <t>SR-C Acteur étatique × Exfiltration du patrimoine scientifique</t>
  </si>
  <si>
    <t>SR-A Étudiant × Compromission des résultats académiques</t>
  </si>
  <si>
    <t>Interruption de l'accès aux services pédagogiques &gt; 24 h (notamment examens)</t>
  </si>
  <si>
    <t>SR-B Cybercriminel × Extorsion par rançongiciel (effet de bord)</t>
  </si>
  <si>
    <t>SR-A Étudiant × Sabotage opportuniste</t>
  </si>
  <si>
    <t>SR-D Hacktiviste × Défacement / sabotage image</t>
  </si>
  <si>
    <t>Altération frauduleuse de la paie et des données RH</t>
  </si>
  <si>
    <t>SR-E Personnel mécontent × Détournement de la paie</t>
  </si>
  <si>
    <t>SR-E Personnel mécontent × Vengeance par destruction (volet RH)</t>
  </si>
  <si>
    <t>Usurpation d'identité d'un personnel ou enseignant (événement pivot)</t>
  </si>
  <si>
    <t>Pivot : étape intermédiaire dans la majorité des couples opérants (notamment C01, C03, C05, C08)</t>
  </si>
  <si>
    <t>n/a</t>
  </si>
  <si>
    <t>Perte ou destruction définitive des données de recherche</t>
  </si>
  <si>
    <t>SR-E Personnel mécontent × Vengeance par destruction</t>
  </si>
  <si>
    <t>Détournement de la messagerie pour campagnes externes malveillantes</t>
  </si>
  <si>
    <t>SR-A Étudiant × Sabotage opportuniste (volet mail)</t>
  </si>
  <si>
    <t>SR-D Hacktiviste × Défacement / sabotage image (volet mail)</t>
  </si>
  <si>
    <t>A3 — Scénarios stratégiques</t>
  </si>
  <si>
    <t>Cette feuille recevra la cartographie des parties prenantes de l'écosystème et les scénarios stratégiques de haut niveau.</t>
  </si>
  <si>
    <t>A4 — Scénarios opérationnels</t>
  </si>
  <si>
    <t>Cette feuille recevra les scénarios techniques structurés selon la séquence Connaître → Rentrer → Trouver → Exploiter, avec leur vraisemblance V1 à V4.</t>
  </si>
  <si>
    <t>A5 — Traitement du risque</t>
  </si>
  <si>
    <t>Cette feuille recevra la matrice de risque, les mesures de traitement (techniques et organisationnelles), et la matrice de risque résiduel.</t>
  </si>
  <si>
    <t>Liste des sources de risque (SR) candidates identifiées au regard du contexte d'UniCampus+. Chaque source est caractérisée par son profil (interne / externe), sa description sociologique et ses capacités typiques en termes de motivation et de ressources. Les couples SR/OV concrets sont construits en A2.2 à partir de cette typologie.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</si>
</sst>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4" x14ac:knownFonts="1">
    <font>
      <sz val="11"/>
      <color theme="1"/>
      <name val="Calibri"/>
      <family val="2"/>
      <charset val="1"/>
    </font>
    <font>
      <b/>
      <sz val="16"/>
      <color rgb="FFFFFFFF"/>
      <name val="Arial"/>
      <charset val="1"/>
    </font>
    <font>
      <b/>
      <sz val="13"/>
      <color rgb="FF1F4E78"/>
      <name val="Arial"/>
      <charset val="1"/>
    </font>
    <font>
      <b/>
      <sz val="12"/>
      <color rgb="FF1F4E78"/>
      <name val="Arial"/>
      <charset val="1"/>
    </font>
    <font>
      <i/>
      <sz val="10"/>
      <color rgb="FF595959"/>
      <name val="Arial"/>
      <charset val="1"/>
    </font>
    <font>
      <b/>
      <sz val="11"/>
      <color rgb="FFFFFFFF"/>
      <name val="Arial"/>
      <charset val="1"/>
    </font>
    <font>
      <b/>
      <sz val="11"/>
      <color rgb="FFFFFFFF"/>
      <name val="Arial"/>
      <family val="2"/>
      <charset val="1"/>
    </font>
    <font>
      <b/>
      <sz val="10"/>
      <name val="Arial"/>
      <charset val="1"/>
    </font>
    <font>
      <sz val="10"/>
      <name val="Arial"/>
      <family val="2"/>
      <charset val="1"/>
    </font>
    <font>
      <sz val="10"/>
      <name val="Arial"/>
      <charset val="1"/>
    </font>
    <font>
      <b/>
      <sz val="16"/>
      <color rgb="FFFFFFFF"/>
      <name val="Arial"/>
      <family val="2"/>
      <charset val="1"/>
    </font>
    <font>
      <b/>
      <sz val="10"/>
      <name val="Arial"/>
      <family val="2"/>
      <charset val="1"/>
    </font>
    <font>
      <sz val="11"/>
      <name val="Cambria"/>
      <charset val="1"/>
    </font>
    <font>
      <b/>
      <sz val="10"/>
      <color rgb="FFFFFFFF"/>
      <name val="Arial"/>
      <charset val="1"/>
    </font>
  </fonts>
  <fills count="12">
    <fill>
      <patternFill patternType="none"/>
    </fill>
    <fill>
      <patternFill patternType="gray125"/>
    </fill>
    <fill>
      <patternFill patternType="solid">
        <fgColor rgb="FF1F4E78"/>
        <bgColor rgb="FF003366"/>
      </patternFill>
    </fill>
    <fill>
      <patternFill patternType="solid">
        <fgColor rgb="FFD9E1F2"/>
        <bgColor rgb="FFEDEDED"/>
      </patternFill>
    </fill>
    <fill>
      <patternFill patternType="solid">
        <fgColor rgb="FFFFF2CC"/>
        <bgColor rgb="FFF2F2F2"/>
      </patternFill>
    </fill>
    <fill>
      <patternFill patternType="solid">
        <fgColor rgb="FFF2F2F2"/>
        <bgColor rgb="FFEDEDED"/>
      </patternFill>
    </fill>
    <fill>
      <patternFill patternType="solid">
        <fgColor rgb="FFFFC7CE"/>
        <bgColor rgb="FFFFD699"/>
      </patternFill>
    </fill>
    <fill>
      <patternFill patternType="solid">
        <fgColor rgb="FFFFD699"/>
        <bgColor rgb="FFFFEB9C"/>
      </patternFill>
    </fill>
    <fill>
      <patternFill patternType="solid">
        <fgColor rgb="FFFFEB9C"/>
        <bgColor rgb="FFFFD699"/>
      </patternFill>
    </fill>
    <fill>
      <patternFill patternType="solid">
        <fgColor rgb="FFC6EFCE"/>
        <bgColor rgb="FFD9E1F2"/>
      </patternFill>
    </fill>
    <fill>
      <patternFill patternType="solid">
        <fgColor rgb="FFEDEDED"/>
        <bgColor rgb="FFF2F2F2"/>
      </patternFill>
    </fill>
    <fill>
      <patternFill patternType="solid">
        <fgColor rgb="FF2E75B6"/>
        <bgColor rgb="FF0066CC"/>
      </patternFill>
    </fill>
  </fills>
  <borders count="3">
    <border>
      <left/>
      <right/>
      <top/>
      <bottom/>
      <diagonal/>
    </border>
    <border>
      <left style="thin">
        <color rgb="FFBFBFBF"/>
      </left>
      <right/>
      <top style="thin">
        <color rgb="FFBFBFBF"/>
      </top>
      <bottom style="thin">
        <color rgb="FFBFBFBF"/>
      </bottom>
      <diagonal/>
    </border>
    <border>
      <left style="thin">
        <color rgb="FFBFBFBF"/>
      </left>
      <right style="thin">
        <color rgb="FFBFBFBF"/>
      </right>
      <top style="thin">
        <color rgb="FFBFBFBF"/>
      </top>
      <bottom style="thin">
        <color rgb="FFBFBFBF"/>
      </bottom>
      <diagonal/>
    </border>
  </borders>
  <cellStyleXfs count="1">
    <xf numFmtId="0" fontId="0" fillId="0" borderId="0"/>
  </cellStyleXfs>
  <cellXfs count="59">
    <xf numFmtId="0" fontId="0" fillId="0" borderId="0" xfId="0"/>
    <xf numFmtId="0" fontId="9" fillId="5" borderId="1" xfId="0" applyFont="1" applyFill="1" applyBorder="1" applyAlignment="1">
      <alignment horizontal="left" vertical="top" wrapText="1"/>
    </xf>
    <xf numFmtId="0" fontId="9" fillId="0" borderId="1" xfId="0" applyFont="1" applyBorder="1" applyAlignment="1">
      <alignment horizontal="left" vertical="top" wrapText="1"/>
    </xf>
    <xf numFmtId="0" fontId="5" fillId="2" borderId="2" xfId="0" applyFont="1" applyFill="1" applyBorder="1" applyAlignment="1">
      <alignment horizontal="center" vertical="center" wrapText="1"/>
    </xf>
    <xf numFmtId="0" fontId="13" fillId="11" borderId="1" xfId="0" applyFont="1" applyFill="1" applyBorder="1" applyAlignment="1">
      <alignment horizontal="center" vertical="center" wrapText="1"/>
    </xf>
    <xf numFmtId="0" fontId="7" fillId="0" borderId="2" xfId="0" applyFont="1" applyBorder="1" applyAlignment="1">
      <alignment horizontal="left" vertical="center" wrapText="1" indent="1"/>
    </xf>
    <xf numFmtId="0" fontId="7" fillId="10" borderId="2" xfId="0" applyFont="1" applyFill="1" applyBorder="1" applyAlignment="1">
      <alignment horizontal="left" vertical="center" wrapText="1" indent="1"/>
    </xf>
    <xf numFmtId="0" fontId="3" fillId="3" borderId="0" xfId="0" applyFont="1" applyFill="1" applyAlignment="1">
      <alignment horizontal="left" vertical="center" wrapText="1" indent="1"/>
    </xf>
    <xf numFmtId="0" fontId="8" fillId="3" borderId="2" xfId="0" applyFont="1" applyFill="1" applyBorder="1" applyAlignment="1">
      <alignment horizontal="left" vertical="top" wrapText="1"/>
    </xf>
    <xf numFmtId="0" fontId="7" fillId="3" borderId="2" xfId="0" applyFont="1" applyFill="1" applyBorder="1" applyAlignment="1">
      <alignment horizontal="center" vertical="center" wrapText="1"/>
    </xf>
    <xf numFmtId="0" fontId="10" fillId="2" borderId="0" xfId="0" applyFont="1" applyFill="1" applyAlignment="1">
      <alignment horizontal="center" vertical="center" wrapText="1"/>
    </xf>
    <xf numFmtId="0" fontId="2" fillId="0" borderId="0" xfId="0" applyFont="1" applyAlignment="1">
      <alignment horizontal="center" vertical="center"/>
    </xf>
    <xf numFmtId="0" fontId="3" fillId="3" borderId="0" xfId="0" applyFont="1" applyFill="1" applyAlignment="1">
      <alignment horizontal="left" vertical="center" indent="1"/>
    </xf>
    <xf numFmtId="0" fontId="4" fillId="4" borderId="1" xfId="0" applyFont="1" applyFill="1" applyBorder="1" applyAlignment="1">
      <alignment horizontal="left" vertical="top" wrapText="1"/>
    </xf>
    <xf numFmtId="0" fontId="1" fillId="2" borderId="0" xfId="0" applyFont="1" applyFill="1" applyAlignment="1">
      <alignment horizontal="center" vertical="center" wrapText="1"/>
    </xf>
    <xf numFmtId="0" fontId="5" fillId="2" borderId="2" xfId="0" applyFont="1" applyFill="1" applyBorder="1" applyAlignment="1">
      <alignment horizontal="center" vertical="center" wrapText="1"/>
    </xf>
    <xf numFmtId="0" fontId="6" fillId="2" borderId="2" xfId="0" applyFont="1" applyFill="1" applyBorder="1" applyAlignment="1">
      <alignment horizontal="center" vertical="center" wrapText="1"/>
    </xf>
    <xf numFmtId="0" fontId="7" fillId="0" borderId="2" xfId="0" applyFont="1" applyBorder="1" applyAlignment="1">
      <alignment horizontal="center" vertical="center" wrapText="1"/>
    </xf>
    <xf numFmtId="0" fontId="8" fillId="0" borderId="2" xfId="0" applyFont="1" applyBorder="1" applyAlignment="1">
      <alignment horizontal="left" vertical="top" wrapText="1"/>
    </xf>
    <xf numFmtId="0" fontId="9" fillId="0" borderId="2" xfId="0" applyFont="1" applyBorder="1" applyAlignment="1">
      <alignment horizontal="left" vertical="top" wrapText="1"/>
    </xf>
    <xf numFmtId="49" fontId="8" fillId="0" borderId="2" xfId="0" applyNumberFormat="1" applyFont="1" applyBorder="1" applyAlignment="1">
      <alignment horizontal="left" vertical="top" wrapText="1"/>
    </xf>
    <xf numFmtId="0" fontId="7" fillId="5" borderId="2" xfId="0" applyFont="1" applyFill="1" applyBorder="1" applyAlignment="1">
      <alignment horizontal="center" vertical="center" wrapText="1"/>
    </xf>
    <xf numFmtId="0" fontId="9" fillId="5" borderId="2" xfId="0" applyFont="1" applyFill="1" applyBorder="1" applyAlignment="1">
      <alignment horizontal="left" vertical="top" wrapText="1"/>
    </xf>
    <xf numFmtId="0" fontId="8" fillId="5" borderId="2" xfId="0" applyFont="1" applyFill="1" applyBorder="1" applyAlignment="1">
      <alignment horizontal="left" vertical="top" wrapText="1"/>
    </xf>
    <xf numFmtId="0" fontId="9" fillId="0" borderId="2" xfId="0" applyFont="1" applyBorder="1" applyAlignment="1">
      <alignment horizontal="center" vertical="center" wrapText="1"/>
    </xf>
    <xf numFmtId="0" fontId="9" fillId="5" borderId="2" xfId="0" applyFont="1" applyFill="1" applyBorder="1" applyAlignment="1">
      <alignment horizontal="center" vertical="center" wrapText="1"/>
    </xf>
    <xf numFmtId="0" fontId="7" fillId="3" borderId="2" xfId="0" applyFont="1" applyFill="1" applyBorder="1" applyAlignment="1">
      <alignment horizontal="left" vertical="top" wrapText="1"/>
    </xf>
    <xf numFmtId="0" fontId="7" fillId="3" borderId="2" xfId="0" applyFont="1" applyFill="1" applyBorder="1" applyAlignment="1">
      <alignment horizontal="center" vertical="center" wrapText="1"/>
    </xf>
    <xf numFmtId="0" fontId="11" fillId="0" borderId="2" xfId="0" applyFont="1" applyBorder="1" applyAlignment="1">
      <alignment horizontal="left" vertical="top" wrapText="1"/>
    </xf>
    <xf numFmtId="0" fontId="11" fillId="5" borderId="2" xfId="0" applyFont="1" applyFill="1" applyBorder="1" applyAlignment="1">
      <alignment horizontal="left" vertical="top" wrapText="1"/>
    </xf>
    <xf numFmtId="0" fontId="7" fillId="6" borderId="2" xfId="0" applyFont="1" applyFill="1" applyBorder="1" applyAlignment="1">
      <alignment horizontal="center" vertical="center" wrapText="1"/>
    </xf>
    <xf numFmtId="0" fontId="7" fillId="6" borderId="2" xfId="0" applyFont="1" applyFill="1" applyBorder="1" applyAlignment="1">
      <alignment horizontal="left" vertical="top" wrapText="1"/>
    </xf>
    <xf numFmtId="0" fontId="9" fillId="6" borderId="2" xfId="0" applyFont="1" applyFill="1" applyBorder="1" applyAlignment="1">
      <alignment horizontal="left" vertical="top" wrapText="1"/>
    </xf>
    <xf numFmtId="0" fontId="7" fillId="7" borderId="2" xfId="0" applyFont="1" applyFill="1" applyBorder="1" applyAlignment="1">
      <alignment horizontal="center" vertical="center" wrapText="1"/>
    </xf>
    <xf numFmtId="0" fontId="7" fillId="7" borderId="2" xfId="0" applyFont="1" applyFill="1" applyBorder="1" applyAlignment="1">
      <alignment horizontal="left" vertical="top" wrapText="1"/>
    </xf>
    <xf numFmtId="0" fontId="9" fillId="7" borderId="2" xfId="0" applyFont="1" applyFill="1" applyBorder="1" applyAlignment="1">
      <alignment horizontal="left" vertical="top" wrapText="1"/>
    </xf>
    <xf numFmtId="0" fontId="7" fillId="8" borderId="2" xfId="0" applyFont="1" applyFill="1" applyBorder="1" applyAlignment="1">
      <alignment horizontal="center" vertical="center" wrapText="1"/>
    </xf>
    <xf numFmtId="0" fontId="7" fillId="8" borderId="2" xfId="0" applyFont="1" applyFill="1" applyBorder="1" applyAlignment="1">
      <alignment horizontal="left" vertical="top" wrapText="1"/>
    </xf>
    <xf numFmtId="0" fontId="9" fillId="8" borderId="2" xfId="0" applyFont="1" applyFill="1" applyBorder="1" applyAlignment="1">
      <alignment horizontal="left" vertical="top" wrapText="1"/>
    </xf>
    <xf numFmtId="0" fontId="7" fillId="9" borderId="2" xfId="0" applyFont="1" applyFill="1" applyBorder="1" applyAlignment="1">
      <alignment horizontal="center" vertical="center" wrapText="1"/>
    </xf>
    <xf numFmtId="0" fontId="7" fillId="9" borderId="2" xfId="0" applyFont="1" applyFill="1" applyBorder="1" applyAlignment="1">
      <alignment horizontal="left" vertical="top" wrapText="1"/>
    </xf>
    <xf numFmtId="0" fontId="9" fillId="9" borderId="2" xfId="0" applyFont="1" applyFill="1" applyBorder="1" applyAlignment="1">
      <alignment horizontal="left" vertical="top" wrapText="1"/>
    </xf>
    <xf numFmtId="0" fontId="12" fillId="0" borderId="0" xfId="0" applyFont="1"/>
    <xf numFmtId="0" fontId="7" fillId="0" borderId="2" xfId="0" applyFont="1" applyBorder="1" applyAlignment="1">
      <alignment horizontal="left" vertical="center" wrapText="1" indent="1"/>
    </xf>
    <xf numFmtId="0" fontId="7" fillId="10" borderId="2" xfId="0" applyFont="1" applyFill="1" applyBorder="1" applyAlignment="1">
      <alignment horizontal="left" vertical="center" wrapText="1" indent="1"/>
    </xf>
    <xf numFmtId="0" fontId="7" fillId="10" borderId="2" xfId="0" applyFont="1" applyFill="1" applyBorder="1" applyAlignment="1">
      <alignment horizontal="center" vertical="center" wrapText="1"/>
    </xf>
    <xf numFmtId="0" fontId="9" fillId="10" borderId="2" xfId="0" applyFont="1" applyFill="1" applyBorder="1" applyAlignment="1">
      <alignment horizontal="left" vertical="top" wrapText="1"/>
    </xf>
    <xf numFmtId="0" fontId="13" fillId="11" borderId="2" xfId="0" applyFont="1" applyFill="1" applyBorder="1" applyAlignment="1">
      <alignment horizontal="center" vertical="center" wrapText="1"/>
    </xf>
    <xf numFmtId="0" fontId="7" fillId="0" borderId="2" xfId="0" applyFont="1" applyBorder="1" applyAlignment="1">
      <alignment horizontal="left" vertical="top" wrapText="1"/>
    </xf>
    <xf numFmtId="0" fontId="7" fillId="5" borderId="2" xfId="0" applyFont="1" applyFill="1" applyBorder="1" applyAlignment="1">
      <alignment horizontal="left" vertical="top" wrapText="1"/>
    </xf>
    <xf numFmtId="0" fontId="9" fillId="7" borderId="2" xfId="0" applyFont="1" applyFill="1" applyBorder="1" applyAlignment="1">
      <alignment horizontal="center" vertical="center" wrapText="1"/>
    </xf>
    <xf numFmtId="0" fontId="9" fillId="8" borderId="2" xfId="0" applyFont="1" applyFill="1" applyBorder="1" applyAlignment="1">
      <alignment horizontal="center" vertical="center" wrapText="1"/>
    </xf>
    <xf numFmtId="0" fontId="9" fillId="6" borderId="2" xfId="0" applyFont="1" applyFill="1" applyBorder="1" applyAlignment="1">
      <alignment horizontal="center" vertical="center" wrapText="1"/>
    </xf>
    <xf numFmtId="0" fontId="7" fillId="0" borderId="1" xfId="0" applyFont="1" applyBorder="1" applyAlignment="1">
      <alignment horizontal="center" vertical="center" wrapText="1"/>
    </xf>
    <xf numFmtId="0" fontId="7" fillId="0" borderId="2" xfId="0" applyFont="1" applyBorder="1" applyAlignment="1">
      <alignment horizontal="center" vertical="center" wrapText="1"/>
    </xf>
    <xf numFmtId="0" fontId="9" fillId="0" borderId="2" xfId="0" applyFont="1" applyBorder="1" applyAlignment="1">
      <alignment horizontal="left" vertical="top" wrapText="1"/>
    </xf>
    <xf numFmtId="0" fontId="7" fillId="6" borderId="2" xfId="0" applyFont="1" applyFill="1" applyBorder="1" applyAlignment="1">
      <alignment horizontal="center" vertical="center" wrapText="1"/>
    </xf>
    <xf numFmtId="0" fontId="7" fillId="7" borderId="2" xfId="0" applyFont="1" applyFill="1" applyBorder="1" applyAlignment="1">
      <alignment horizontal="center" vertical="center" wrapText="1"/>
    </xf>
    <xf numFmtId="0" fontId="7" fillId="8" borderId="2" xfId="0" applyFont="1" applyFill="1" applyBorder="1" applyAlignment="1">
      <alignment horizontal="center" vertical="center" wrapText="1"/>
    </xf>
  </cellXfs>
  <cellStyles count="1">
    <cellStyle name="Normal" xfId="0" builtinId="0"/>
  </cellStyles>
  <dxfs count="4">
    <dxf>
      <fill>
        <patternFill>
          <bgColor rgb="FFFFC7CE"/>
        </patternFill>
      </fill>
    </dxf>
    <dxf>
      <fill>
        <patternFill>
          <bgColor rgb="FFFFD699"/>
        </patternFill>
      </fill>
    </dxf>
    <dxf>
      <fill>
        <patternFill>
          <bgColor rgb="FFFFEB9C"/>
        </patternFill>
      </fill>
    </dxf>
    <dxf>
      <fill>
        <patternFill>
          <bgColor rgb="FFC6EFCE"/>
        </patternFill>
      </fill>
    </dxf>
  </dxf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9999FF"/>
      <rgbColor rgb="FF993366"/>
      <rgbColor rgb="FFFFF2CC"/>
      <rgbColor rgb="FFF2F2F2"/>
      <rgbColor rgb="FF660066"/>
      <rgbColor rgb="FFFF8080"/>
      <rgbColor rgb="FF0066CC"/>
      <rgbColor rgb="FFD9E1F2"/>
      <rgbColor rgb="FF000080"/>
      <rgbColor rgb="FFFF00FF"/>
      <rgbColor rgb="FFFFFF00"/>
      <rgbColor rgb="FF00FFFF"/>
      <rgbColor rgb="FF800080"/>
      <rgbColor rgb="FF800000"/>
      <rgbColor rgb="FF008080"/>
      <rgbColor rgb="FF0000FF"/>
      <rgbColor rgb="FF00CCFF"/>
      <rgbColor rgb="FFEDEDED"/>
      <rgbColor rgb="FFC6EFCE"/>
      <rgbColor rgb="FFFFEB9C"/>
      <rgbColor rgb="FF99CCFF"/>
      <rgbColor rgb="FFFFC7CE"/>
      <rgbColor rgb="FFCC99FF"/>
      <rgbColor rgb="FFFFD699"/>
      <rgbColor rgb="FF2E75B6"/>
      <rgbColor rgb="FF33CCCC"/>
      <rgbColor rgb="FF99CC00"/>
      <rgbColor rgb="FFFFCC00"/>
      <rgbColor rgb="FFFF9900"/>
      <rgbColor rgb="FFFF6600"/>
      <rgbColor rgb="FF595959"/>
      <rgbColor rgb="FF969696"/>
      <rgbColor rgb="FF003366"/>
      <rgbColor rgb="FF339966"/>
      <rgbColor rgb="FF003300"/>
      <rgbColor rgb="FF333300"/>
      <rgbColor rgb="FF993300"/>
      <rgbColor rgb="FF993366"/>
      <rgbColor rgb="FF1F4E78"/>
      <rgbColor rgb="FF333333"/>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calcChain" Target="calcChain.xml"/><Relationship Id="rId2" Type="http://schemas.openxmlformats.org/officeDocument/2006/relationships/worksheet" Target="worksheets/sheet2.xml"/><Relationship Id="rId16"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styles" Target="styles.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theme" Target="theme/theme1.xml"/></Relationships>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31"/>
  <sheetViews>
    <sheetView showGridLines="0" zoomScaleNormal="100" workbookViewId="0">
      <pane ySplit="3" topLeftCell="A4" activePane="bottomLeft" state="frozen"/>
      <selection pane="bottomLeft" activeCell="H14" sqref="H14"/>
    </sheetView>
  </sheetViews>
  <sheetFormatPr baseColWidth="10" defaultColWidth="8.703125" defaultRowHeight="14.35" x14ac:dyDescent="0.5"/>
  <cols>
    <col min="1" max="1" width="4" customWidth="1"/>
    <col min="2" max="2" width="28" customWidth="1"/>
    <col min="3" max="3" width="70" customWidth="1"/>
    <col min="4" max="4" width="25" customWidth="1"/>
  </cols>
  <sheetData>
    <row r="1" spans="1:4" ht="27.75" customHeight="1" x14ac:dyDescent="0.5">
      <c r="A1" s="14" t="s">
        <v>0</v>
      </c>
      <c r="B1" s="14"/>
      <c r="C1" s="14"/>
      <c r="D1" s="14"/>
    </row>
    <row r="2" spans="1:4" ht="27.75" customHeight="1" x14ac:dyDescent="0.5">
      <c r="A2" s="14"/>
      <c r="B2" s="14"/>
      <c r="C2" s="14"/>
      <c r="D2" s="14"/>
    </row>
    <row r="4" spans="1:4" ht="15.75" customHeight="1" x14ac:dyDescent="0.5">
      <c r="A4" s="11" t="s">
        <v>1</v>
      </c>
      <c r="B4" s="11"/>
      <c r="C4" s="11"/>
      <c r="D4" s="11"/>
    </row>
    <row r="6" spans="1:4" ht="21.75" customHeight="1" x14ac:dyDescent="0.5">
      <c r="A6" s="12" t="s">
        <v>2</v>
      </c>
      <c r="B6" s="12"/>
      <c r="C6" s="12"/>
      <c r="D6" s="12"/>
    </row>
    <row r="7" spans="1:4" ht="90" customHeight="1" x14ac:dyDescent="0.5">
      <c r="A7" s="13" t="s">
        <v>3</v>
      </c>
      <c r="B7" s="13"/>
      <c r="C7" s="13"/>
      <c r="D7" s="13"/>
    </row>
    <row r="9" spans="1:4" ht="21.75" customHeight="1" x14ac:dyDescent="0.5">
      <c r="A9" s="12" t="s">
        <v>4</v>
      </c>
      <c r="B9" s="12"/>
      <c r="C9" s="12"/>
      <c r="D9" s="12"/>
    </row>
    <row r="10" spans="1:4" ht="27.75" customHeight="1" x14ac:dyDescent="0.5">
      <c r="A10" s="15" t="s">
        <v>5</v>
      </c>
      <c r="B10" s="15" t="s">
        <v>6</v>
      </c>
      <c r="C10" s="15" t="s">
        <v>7</v>
      </c>
      <c r="D10" s="16" t="s">
        <v>8</v>
      </c>
    </row>
    <row r="11" spans="1:4" ht="48" customHeight="1" x14ac:dyDescent="0.5">
      <c r="A11" s="17" t="s">
        <v>9</v>
      </c>
      <c r="B11" s="18" t="s">
        <v>10</v>
      </c>
      <c r="C11" s="19" t="s">
        <v>11</v>
      </c>
      <c r="D11" s="20" t="s">
        <v>12</v>
      </c>
    </row>
    <row r="12" spans="1:4" ht="48" customHeight="1" x14ac:dyDescent="0.5">
      <c r="A12" s="21" t="s">
        <v>13</v>
      </c>
      <c r="B12" s="22" t="s">
        <v>14</v>
      </c>
      <c r="C12" s="22" t="s">
        <v>15</v>
      </c>
      <c r="D12" s="22" t="s">
        <v>16</v>
      </c>
    </row>
    <row r="13" spans="1:4" ht="48" customHeight="1" x14ac:dyDescent="0.5">
      <c r="A13" s="17" t="s">
        <v>17</v>
      </c>
      <c r="B13" s="19" t="s">
        <v>18</v>
      </c>
      <c r="C13" s="19" t="s">
        <v>19</v>
      </c>
      <c r="D13" s="19" t="s">
        <v>20</v>
      </c>
    </row>
    <row r="14" spans="1:4" ht="48" customHeight="1" x14ac:dyDescent="0.5">
      <c r="A14" s="21" t="s">
        <v>21</v>
      </c>
      <c r="B14" s="22" t="s">
        <v>22</v>
      </c>
      <c r="C14" s="22" t="s">
        <v>23</v>
      </c>
      <c r="D14" s="23" t="s">
        <v>24</v>
      </c>
    </row>
    <row r="15" spans="1:4" ht="48" customHeight="1" x14ac:dyDescent="0.5">
      <c r="A15" s="17" t="s">
        <v>25</v>
      </c>
      <c r="B15" s="19" t="s">
        <v>26</v>
      </c>
      <c r="C15" s="19" t="s">
        <v>27</v>
      </c>
      <c r="D15" s="18" t="s">
        <v>28</v>
      </c>
    </row>
    <row r="17" spans="1:4" ht="21.75" customHeight="1" x14ac:dyDescent="0.5">
      <c r="A17" s="12" t="s">
        <v>29</v>
      </c>
      <c r="B17" s="12"/>
      <c r="C17" s="12"/>
      <c r="D17" s="12"/>
    </row>
    <row r="18" spans="1:4" ht="24" customHeight="1" x14ac:dyDescent="0.5">
      <c r="A18" s="15" t="s">
        <v>30</v>
      </c>
      <c r="B18" s="15" t="s">
        <v>5</v>
      </c>
      <c r="C18" s="15" t="s">
        <v>31</v>
      </c>
      <c r="D18" s="15" t="s">
        <v>32</v>
      </c>
    </row>
    <row r="19" spans="1:4" ht="21.75" customHeight="1" x14ac:dyDescent="0.5">
      <c r="A19" s="18" t="s">
        <v>33</v>
      </c>
      <c r="B19" s="24" t="s">
        <v>34</v>
      </c>
      <c r="C19" s="19" t="s">
        <v>35</v>
      </c>
      <c r="D19" s="19" t="s">
        <v>36</v>
      </c>
    </row>
    <row r="20" spans="1:4" ht="21.75" customHeight="1" x14ac:dyDescent="0.5">
      <c r="A20" s="22" t="s">
        <v>37</v>
      </c>
      <c r="B20" s="25" t="s">
        <v>9</v>
      </c>
      <c r="C20" s="22" t="s">
        <v>38</v>
      </c>
      <c r="D20" s="22" t="s">
        <v>39</v>
      </c>
    </row>
    <row r="21" spans="1:4" ht="21.75" customHeight="1" x14ac:dyDescent="0.5">
      <c r="A21" s="19" t="s">
        <v>40</v>
      </c>
      <c r="B21" s="24" t="s">
        <v>9</v>
      </c>
      <c r="C21" s="19" t="s">
        <v>41</v>
      </c>
      <c r="D21" s="19" t="s">
        <v>39</v>
      </c>
    </row>
    <row r="22" spans="1:4" ht="21.75" customHeight="1" x14ac:dyDescent="0.5">
      <c r="A22" s="22" t="s">
        <v>42</v>
      </c>
      <c r="B22" s="25" t="s">
        <v>9</v>
      </c>
      <c r="C22" s="22" t="s">
        <v>43</v>
      </c>
      <c r="D22" s="22" t="s">
        <v>39</v>
      </c>
    </row>
    <row r="23" spans="1:4" ht="21.75" customHeight="1" x14ac:dyDescent="0.5">
      <c r="A23" s="19" t="s">
        <v>44</v>
      </c>
      <c r="B23" s="24" t="s">
        <v>9</v>
      </c>
      <c r="C23" s="19" t="s">
        <v>45</v>
      </c>
      <c r="D23" s="19" t="s">
        <v>39</v>
      </c>
    </row>
    <row r="24" spans="1:4" ht="21.75" customHeight="1" x14ac:dyDescent="0.5">
      <c r="A24" s="22" t="s">
        <v>46</v>
      </c>
      <c r="B24" s="25" t="s">
        <v>9</v>
      </c>
      <c r="C24" s="22" t="s">
        <v>47</v>
      </c>
      <c r="D24" s="22" t="s">
        <v>39</v>
      </c>
    </row>
    <row r="25" spans="1:4" ht="25.5" customHeight="1" x14ac:dyDescent="0.5">
      <c r="A25" s="19" t="s">
        <v>48</v>
      </c>
      <c r="B25" s="24" t="s">
        <v>13</v>
      </c>
      <c r="C25" s="19" t="s">
        <v>49</v>
      </c>
      <c r="D25" s="19" t="s">
        <v>39</v>
      </c>
    </row>
    <row r="26" spans="1:4" ht="25.5" customHeight="1" x14ac:dyDescent="0.5">
      <c r="A26" s="22" t="s">
        <v>50</v>
      </c>
      <c r="B26" s="25" t="s">
        <v>13</v>
      </c>
      <c r="C26" s="22" t="s">
        <v>51</v>
      </c>
      <c r="D26" s="22" t="s">
        <v>39</v>
      </c>
    </row>
    <row r="27" spans="1:4" ht="25.5" customHeight="1" x14ac:dyDescent="0.5">
      <c r="A27" s="19" t="s">
        <v>52</v>
      </c>
      <c r="B27" s="24" t="s">
        <v>13</v>
      </c>
      <c r="C27" s="19" t="s">
        <v>53</v>
      </c>
      <c r="D27" s="19" t="s">
        <v>39</v>
      </c>
    </row>
    <row r="28" spans="1:4" ht="25.5" customHeight="1" x14ac:dyDescent="0.5">
      <c r="A28" s="22" t="s">
        <v>54</v>
      </c>
      <c r="B28" s="25" t="s">
        <v>13</v>
      </c>
      <c r="C28" s="22" t="s">
        <v>55</v>
      </c>
      <c r="D28" s="22" t="s">
        <v>39</v>
      </c>
    </row>
    <row r="29" spans="1:4" ht="21.75" customHeight="1" x14ac:dyDescent="0.5">
      <c r="A29" s="19" t="s">
        <v>56</v>
      </c>
      <c r="B29" s="24" t="s">
        <v>17</v>
      </c>
      <c r="C29" s="19" t="s">
        <v>57</v>
      </c>
      <c r="D29" s="19" t="s">
        <v>58</v>
      </c>
    </row>
    <row r="30" spans="1:4" ht="101.35" x14ac:dyDescent="0.5">
      <c r="A30" s="22" t="s">
        <v>59</v>
      </c>
      <c r="B30" s="25" t="s">
        <v>21</v>
      </c>
      <c r="C30" s="22" t="s">
        <v>60</v>
      </c>
      <c r="D30" s="22" t="s">
        <v>58</v>
      </c>
    </row>
    <row r="31" spans="1:4" ht="88.7" x14ac:dyDescent="0.5">
      <c r="A31" s="19" t="s">
        <v>61</v>
      </c>
      <c r="B31" s="24" t="s">
        <v>25</v>
      </c>
      <c r="C31" s="19" t="s">
        <v>62</v>
      </c>
      <c r="D31" s="19" t="s">
        <v>58</v>
      </c>
    </row>
  </sheetData>
  <mergeCells count="6">
    <mergeCell ref="A17:D17"/>
    <mergeCell ref="A1:D2"/>
    <mergeCell ref="A4:D4"/>
    <mergeCell ref="A6:D6"/>
    <mergeCell ref="A7:D7"/>
    <mergeCell ref="A9:D9"/>
  </mergeCells>
  <pageMargins left="0.75" right="0.75" top="1" bottom="1" header="0.511811023622047" footer="0.511811023622047"/>
  <pageSetup paperSize="9" orientation="portrait" horizontalDpi="300" verticalDpi="30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C12"/>
  <sheetViews>
    <sheetView showGridLines="0" zoomScaleNormal="100" workbookViewId="0">
      <pane ySplit="3" topLeftCell="A4" activePane="bottomLeft" state="frozen"/>
      <selection pane="bottomLeft"/>
    </sheetView>
  </sheetViews>
  <sheetFormatPr baseColWidth="10" defaultColWidth="8.703125" defaultRowHeight="14.35" x14ac:dyDescent="0.5"/>
  <cols>
    <col min="1" max="1" width="4" customWidth="1"/>
    <col min="2" max="2" width="30" customWidth="1"/>
    <col min="3" max="3" width="100" customWidth="1"/>
  </cols>
  <sheetData>
    <row r="1" spans="1:3" ht="25.5" customHeight="1" x14ac:dyDescent="0.5">
      <c r="A1" s="10" t="s">
        <v>63</v>
      </c>
      <c r="B1" s="10"/>
      <c r="C1" s="10"/>
    </row>
    <row r="2" spans="1:3" ht="25.5" customHeight="1" x14ac:dyDescent="0.5">
      <c r="A2" s="10"/>
      <c r="B2" s="10"/>
      <c r="C2" s="10"/>
    </row>
    <row r="4" spans="1:3" ht="43.5" customHeight="1" x14ac:dyDescent="0.5">
      <c r="A4" s="13" t="s">
        <v>64</v>
      </c>
      <c r="B4" s="13"/>
      <c r="C4" s="13"/>
    </row>
    <row r="6" spans="1:3" ht="21.75" customHeight="1" x14ac:dyDescent="0.5">
      <c r="A6" s="12" t="s">
        <v>65</v>
      </c>
      <c r="B6" s="12"/>
      <c r="C6" s="12"/>
    </row>
    <row r="7" spans="1:3" ht="24" customHeight="1" x14ac:dyDescent="0.5">
      <c r="A7" s="15"/>
      <c r="B7" s="15" t="s">
        <v>66</v>
      </c>
      <c r="C7" s="15" t="s">
        <v>67</v>
      </c>
    </row>
    <row r="8" spans="1:3" ht="87.75" customHeight="1" x14ac:dyDescent="0.5">
      <c r="A8" s="17">
        <v>1</v>
      </c>
      <c r="B8" s="26" t="s">
        <v>68</v>
      </c>
      <c r="C8" s="19" t="s">
        <v>69</v>
      </c>
    </row>
    <row r="9" spans="1:3" ht="132" customHeight="1" x14ac:dyDescent="0.5">
      <c r="A9" s="17">
        <v>2</v>
      </c>
      <c r="B9" s="26" t="s">
        <v>70</v>
      </c>
      <c r="C9" s="19" t="s">
        <v>71</v>
      </c>
    </row>
    <row r="10" spans="1:3" ht="132" customHeight="1" x14ac:dyDescent="0.5">
      <c r="A10" s="17">
        <v>3</v>
      </c>
      <c r="B10" s="26" t="s">
        <v>72</v>
      </c>
      <c r="C10" s="19" t="s">
        <v>73</v>
      </c>
    </row>
    <row r="11" spans="1:3" ht="153.75" customHeight="1" x14ac:dyDescent="0.5">
      <c r="A11" s="17">
        <v>4</v>
      </c>
      <c r="B11" s="26" t="s">
        <v>74</v>
      </c>
      <c r="C11" s="19" t="s">
        <v>75</v>
      </c>
    </row>
    <row r="12" spans="1:3" ht="132" customHeight="1" x14ac:dyDescent="0.5">
      <c r="A12" s="17">
        <v>5</v>
      </c>
      <c r="B12" s="26" t="s">
        <v>76</v>
      </c>
      <c r="C12" s="19" t="s">
        <v>77</v>
      </c>
    </row>
  </sheetData>
  <mergeCells count="3">
    <mergeCell ref="A1:C2"/>
    <mergeCell ref="A4:C4"/>
    <mergeCell ref="A6:C6"/>
  </mergeCells>
  <pageMargins left="0.75" right="0.75" top="1" bottom="1" header="0.511811023622047" footer="0.511811023622047"/>
  <pageSetup paperSize="9" orientation="portrait" horizontalDpi="300" verticalDpi="300"/>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E19"/>
  <sheetViews>
    <sheetView showGridLines="0" zoomScaleNormal="100" workbookViewId="0">
      <pane ySplit="7" topLeftCell="A11" activePane="bottomLeft" state="frozen"/>
      <selection pane="bottomLeft" activeCell="E17" sqref="E17"/>
    </sheetView>
  </sheetViews>
  <sheetFormatPr baseColWidth="10" defaultColWidth="8.703125" defaultRowHeight="14.35" x14ac:dyDescent="0.5"/>
  <cols>
    <col min="1" max="1" width="10" customWidth="1"/>
    <col min="2" max="2" width="28" customWidth="1"/>
    <col min="3" max="3" width="35" customWidth="1"/>
    <col min="4" max="4" width="14" customWidth="1"/>
    <col min="5" max="5" width="60" customWidth="1"/>
  </cols>
  <sheetData>
    <row r="1" spans="1:5" ht="25.5" customHeight="1" x14ac:dyDescent="0.5">
      <c r="A1" s="10" t="s">
        <v>78</v>
      </c>
      <c r="B1" s="10"/>
      <c r="C1" s="10"/>
      <c r="D1" s="10"/>
      <c r="E1" s="10"/>
    </row>
    <row r="2" spans="1:5" ht="25.5" customHeight="1" x14ac:dyDescent="0.5">
      <c r="A2" s="10"/>
      <c r="B2" s="10"/>
      <c r="C2" s="10"/>
      <c r="D2" s="10"/>
      <c r="E2" s="10"/>
    </row>
    <row r="4" spans="1:5" ht="57.75" customHeight="1" x14ac:dyDescent="0.5">
      <c r="A4" s="13" t="s">
        <v>79</v>
      </c>
      <c r="B4" s="13"/>
      <c r="C4" s="13"/>
      <c r="D4" s="13"/>
      <c r="E4" s="13"/>
    </row>
    <row r="6" spans="1:5" ht="21.75" customHeight="1" x14ac:dyDescent="0.5">
      <c r="A6" s="12" t="s">
        <v>80</v>
      </c>
      <c r="B6" s="12"/>
      <c r="C6" s="12"/>
      <c r="D6" s="12"/>
      <c r="E6" s="12"/>
    </row>
    <row r="7" spans="1:5" ht="31.5" customHeight="1" x14ac:dyDescent="0.5">
      <c r="A7" s="15" t="s">
        <v>81</v>
      </c>
      <c r="B7" s="16" t="s">
        <v>82</v>
      </c>
      <c r="C7" s="15" t="s">
        <v>83</v>
      </c>
      <c r="D7" s="15" t="s">
        <v>84</v>
      </c>
      <c r="E7" s="15" t="s">
        <v>67</v>
      </c>
    </row>
    <row r="8" spans="1:5" ht="72" customHeight="1" x14ac:dyDescent="0.5">
      <c r="A8" s="9" t="s">
        <v>85</v>
      </c>
      <c r="B8" s="8" t="s">
        <v>86</v>
      </c>
      <c r="C8" s="28" t="s">
        <v>87</v>
      </c>
      <c r="D8" s="24" t="s">
        <v>88</v>
      </c>
      <c r="E8" s="19" t="s">
        <v>89</v>
      </c>
    </row>
    <row r="9" spans="1:5" ht="72" customHeight="1" x14ac:dyDescent="0.5">
      <c r="A9" s="9"/>
      <c r="B9" s="9"/>
      <c r="C9" s="29" t="s">
        <v>90</v>
      </c>
      <c r="D9" s="25" t="s">
        <v>88</v>
      </c>
      <c r="E9" s="22" t="s">
        <v>91</v>
      </c>
    </row>
    <row r="10" spans="1:5" ht="72" customHeight="1" x14ac:dyDescent="0.5">
      <c r="A10" s="9"/>
      <c r="B10" s="9"/>
      <c r="C10" s="28" t="s">
        <v>92</v>
      </c>
      <c r="D10" s="24" t="s">
        <v>93</v>
      </c>
      <c r="E10" s="19" t="s">
        <v>94</v>
      </c>
    </row>
    <row r="11" spans="1:5" ht="72" customHeight="1" x14ac:dyDescent="0.5">
      <c r="A11" s="9"/>
      <c r="B11" s="9"/>
      <c r="C11" s="29" t="s">
        <v>95</v>
      </c>
      <c r="D11" s="25" t="s">
        <v>88</v>
      </c>
      <c r="E11" s="22" t="s">
        <v>96</v>
      </c>
    </row>
    <row r="12" spans="1:5" ht="90" customHeight="1" x14ac:dyDescent="0.5">
      <c r="A12" s="9"/>
      <c r="B12" s="9"/>
      <c r="C12" s="29" t="s">
        <v>97</v>
      </c>
      <c r="D12" s="25" t="s">
        <v>88</v>
      </c>
      <c r="E12" s="22" t="s">
        <v>98</v>
      </c>
    </row>
    <row r="13" spans="1:5" ht="72" customHeight="1" x14ac:dyDescent="0.5">
      <c r="A13" s="9" t="s">
        <v>99</v>
      </c>
      <c r="B13" s="8" t="s">
        <v>100</v>
      </c>
      <c r="C13" s="28" t="s">
        <v>101</v>
      </c>
      <c r="D13" s="24" t="s">
        <v>88</v>
      </c>
      <c r="E13" s="19" t="s">
        <v>102</v>
      </c>
    </row>
    <row r="14" spans="1:5" ht="72" customHeight="1" x14ac:dyDescent="0.5">
      <c r="A14" s="9"/>
      <c r="B14" s="9"/>
      <c r="C14" s="29" t="s">
        <v>103</v>
      </c>
      <c r="D14" s="25" t="s">
        <v>93</v>
      </c>
      <c r="E14" s="22" t="s">
        <v>104</v>
      </c>
    </row>
    <row r="15" spans="1:5" ht="72" customHeight="1" x14ac:dyDescent="0.5">
      <c r="A15" s="9"/>
      <c r="B15" s="9"/>
      <c r="C15" s="28" t="s">
        <v>105</v>
      </c>
      <c r="D15" s="24" t="s">
        <v>88</v>
      </c>
      <c r="E15" s="19" t="s">
        <v>106</v>
      </c>
    </row>
    <row r="16" spans="1:5" ht="72" customHeight="1" x14ac:dyDescent="0.5">
      <c r="A16" s="9" t="s">
        <v>107</v>
      </c>
      <c r="B16" s="8" t="s">
        <v>108</v>
      </c>
      <c r="C16" s="29" t="s">
        <v>109</v>
      </c>
      <c r="D16" s="25" t="s">
        <v>88</v>
      </c>
      <c r="E16" s="22" t="s">
        <v>110</v>
      </c>
    </row>
    <row r="17" spans="1:5" ht="72" customHeight="1" x14ac:dyDescent="0.5">
      <c r="A17" s="9"/>
      <c r="B17" s="9"/>
      <c r="C17" s="28" t="s">
        <v>111</v>
      </c>
      <c r="D17" s="24" t="s">
        <v>93</v>
      </c>
      <c r="E17" s="19" t="s">
        <v>112</v>
      </c>
    </row>
    <row r="18" spans="1:5" ht="72" customHeight="1" x14ac:dyDescent="0.5">
      <c r="A18" s="9"/>
      <c r="B18" s="9"/>
      <c r="C18" s="29" t="s">
        <v>113</v>
      </c>
      <c r="D18" s="25" t="s">
        <v>88</v>
      </c>
      <c r="E18" s="22" t="s">
        <v>114</v>
      </c>
    </row>
    <row r="19" spans="1:5" ht="45.75" customHeight="1" x14ac:dyDescent="0.5">
      <c r="A19" s="9"/>
      <c r="B19" s="9"/>
      <c r="C19" s="28" t="s">
        <v>115</v>
      </c>
      <c r="D19" s="24" t="s">
        <v>88</v>
      </c>
      <c r="E19" s="19" t="s">
        <v>116</v>
      </c>
    </row>
  </sheetData>
  <mergeCells count="9">
    <mergeCell ref="A13:A15"/>
    <mergeCell ref="B13:B15"/>
    <mergeCell ref="A16:A19"/>
    <mergeCell ref="B16:B19"/>
    <mergeCell ref="A1:E2"/>
    <mergeCell ref="A4:E4"/>
    <mergeCell ref="A6:E6"/>
    <mergeCell ref="A8:A12"/>
    <mergeCell ref="B8:B12"/>
  </mergeCells>
  <pageMargins left="0.75" right="0.75" top="1" bottom="1" header="0.511811023622047" footer="0.511811023622047"/>
  <pageSetup paperSize="9" orientation="portrait" horizontalDpi="300" verticalDpi="300"/>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F20"/>
  <sheetViews>
    <sheetView showGridLines="0" zoomScaleNormal="100" workbookViewId="0">
      <pane ySplit="7" topLeftCell="A15" activePane="bottomLeft" state="frozen"/>
      <selection pane="bottomLeft" activeCell="C25" sqref="C25"/>
    </sheetView>
  </sheetViews>
  <sheetFormatPr baseColWidth="10" defaultColWidth="8.703125" defaultRowHeight="14.35" x14ac:dyDescent="0.5"/>
  <cols>
    <col min="1" max="1" width="8" customWidth="1"/>
    <col min="2" max="2" width="32" customWidth="1"/>
    <col min="3" max="3" width="60" customWidth="1"/>
    <col min="4" max="5" width="18" customWidth="1"/>
    <col min="6" max="6" width="16" customWidth="1"/>
  </cols>
  <sheetData>
    <row r="1" spans="1:6" ht="25.5" customHeight="1" x14ac:dyDescent="0.5">
      <c r="A1" s="10" t="s">
        <v>117</v>
      </c>
      <c r="B1" s="10"/>
      <c r="C1" s="10"/>
      <c r="D1" s="10"/>
      <c r="E1" s="10"/>
      <c r="F1" s="10"/>
    </row>
    <row r="2" spans="1:6" ht="25.5" customHeight="1" x14ac:dyDescent="0.5">
      <c r="A2" s="10"/>
      <c r="B2" s="10"/>
      <c r="C2" s="10"/>
      <c r="D2" s="10"/>
      <c r="E2" s="10"/>
      <c r="F2" s="10"/>
    </row>
    <row r="4" spans="1:6" ht="57.75" customHeight="1" x14ac:dyDescent="0.5">
      <c r="A4" s="13" t="s">
        <v>118</v>
      </c>
      <c r="B4" s="13"/>
      <c r="C4" s="13"/>
      <c r="D4" s="13"/>
      <c r="E4" s="13"/>
      <c r="F4" s="13"/>
    </row>
    <row r="6" spans="1:6" ht="21.75" customHeight="1" x14ac:dyDescent="0.5">
      <c r="A6" s="12" t="s">
        <v>119</v>
      </c>
      <c r="B6" s="12"/>
      <c r="C6" s="12"/>
      <c r="D6" s="12"/>
      <c r="E6" s="12"/>
      <c r="F6" s="12"/>
    </row>
    <row r="7" spans="1:6" ht="31.5" customHeight="1" x14ac:dyDescent="0.5">
      <c r="A7" s="15" t="s">
        <v>120</v>
      </c>
      <c r="B7" s="15" t="s">
        <v>121</v>
      </c>
      <c r="C7" s="15" t="s">
        <v>67</v>
      </c>
      <c r="D7" s="15" t="s">
        <v>122</v>
      </c>
      <c r="E7" s="15" t="s">
        <v>123</v>
      </c>
      <c r="F7" s="15" t="s">
        <v>124</v>
      </c>
    </row>
    <row r="8" spans="1:6" ht="72" customHeight="1" x14ac:dyDescent="0.5">
      <c r="A8" s="17" t="s">
        <v>125</v>
      </c>
      <c r="B8" s="19" t="s">
        <v>126</v>
      </c>
      <c r="C8" s="19" t="s">
        <v>127</v>
      </c>
      <c r="D8" s="19" t="s">
        <v>128</v>
      </c>
      <c r="E8" s="19" t="s">
        <v>129</v>
      </c>
      <c r="F8" s="24" t="s">
        <v>130</v>
      </c>
    </row>
    <row r="9" spans="1:6" ht="72" customHeight="1" x14ac:dyDescent="0.5">
      <c r="A9" s="21" t="s">
        <v>131</v>
      </c>
      <c r="B9" s="22" t="s">
        <v>132</v>
      </c>
      <c r="C9" s="22" t="s">
        <v>133</v>
      </c>
      <c r="D9" s="22" t="s">
        <v>134</v>
      </c>
      <c r="E9" s="22" t="s">
        <v>129</v>
      </c>
      <c r="F9" s="25" t="s">
        <v>130</v>
      </c>
    </row>
    <row r="10" spans="1:6" ht="72" customHeight="1" x14ac:dyDescent="0.5">
      <c r="A10" s="17" t="s">
        <v>135</v>
      </c>
      <c r="B10" s="19" t="s">
        <v>136</v>
      </c>
      <c r="C10" s="19" t="s">
        <v>137</v>
      </c>
      <c r="D10" s="19" t="s">
        <v>138</v>
      </c>
      <c r="E10" s="19" t="s">
        <v>129</v>
      </c>
      <c r="F10" s="24" t="s">
        <v>130</v>
      </c>
    </row>
    <row r="11" spans="1:6" ht="72" customHeight="1" x14ac:dyDescent="0.5">
      <c r="A11" s="21" t="s">
        <v>139</v>
      </c>
      <c r="B11" s="22" t="s">
        <v>140</v>
      </c>
      <c r="C11" s="22" t="s">
        <v>141</v>
      </c>
      <c r="D11" s="22" t="s">
        <v>142</v>
      </c>
      <c r="E11" s="22" t="s">
        <v>129</v>
      </c>
      <c r="F11" s="25" t="s">
        <v>130</v>
      </c>
    </row>
    <row r="12" spans="1:6" ht="72" customHeight="1" x14ac:dyDescent="0.5">
      <c r="A12" s="17" t="s">
        <v>143</v>
      </c>
      <c r="B12" s="19" t="s">
        <v>144</v>
      </c>
      <c r="C12" s="19" t="s">
        <v>145</v>
      </c>
      <c r="D12" s="19" t="s">
        <v>146</v>
      </c>
      <c r="E12" s="19" t="s">
        <v>147</v>
      </c>
      <c r="F12" s="24" t="s">
        <v>130</v>
      </c>
    </row>
    <row r="13" spans="1:6" ht="72" customHeight="1" x14ac:dyDescent="0.5">
      <c r="A13" s="21" t="s">
        <v>148</v>
      </c>
      <c r="B13" s="22" t="s">
        <v>149</v>
      </c>
      <c r="C13" s="22" t="s">
        <v>150</v>
      </c>
      <c r="D13" s="22" t="s">
        <v>151</v>
      </c>
      <c r="E13" s="22" t="s">
        <v>129</v>
      </c>
      <c r="F13" s="25" t="s">
        <v>130</v>
      </c>
    </row>
    <row r="14" spans="1:6" ht="72" customHeight="1" x14ac:dyDescent="0.5">
      <c r="A14" s="17" t="s">
        <v>152</v>
      </c>
      <c r="B14" s="19" t="s">
        <v>153</v>
      </c>
      <c r="C14" s="19" t="s">
        <v>154</v>
      </c>
      <c r="D14" s="19" t="s">
        <v>155</v>
      </c>
      <c r="E14" s="19" t="s">
        <v>129</v>
      </c>
      <c r="F14" s="24" t="s">
        <v>130</v>
      </c>
    </row>
    <row r="15" spans="1:6" ht="72" customHeight="1" x14ac:dyDescent="0.5">
      <c r="A15" s="21" t="s">
        <v>156</v>
      </c>
      <c r="B15" s="22" t="s">
        <v>157</v>
      </c>
      <c r="C15" s="22" t="s">
        <v>158</v>
      </c>
      <c r="D15" s="22" t="s">
        <v>159</v>
      </c>
      <c r="E15" s="22" t="s">
        <v>160</v>
      </c>
      <c r="F15" s="25" t="s">
        <v>130</v>
      </c>
    </row>
    <row r="16" spans="1:6" ht="72" customHeight="1" x14ac:dyDescent="0.5">
      <c r="A16" s="17" t="s">
        <v>161</v>
      </c>
      <c r="B16" s="19" t="s">
        <v>162</v>
      </c>
      <c r="C16" s="19" t="s">
        <v>163</v>
      </c>
      <c r="D16" s="19" t="s">
        <v>164</v>
      </c>
      <c r="E16" s="19" t="s">
        <v>165</v>
      </c>
      <c r="F16" s="24" t="s">
        <v>130</v>
      </c>
    </row>
    <row r="17" spans="1:6" ht="72" customHeight="1" x14ac:dyDescent="0.5">
      <c r="A17" s="21" t="s">
        <v>166</v>
      </c>
      <c r="B17" s="22" t="s">
        <v>167</v>
      </c>
      <c r="C17" s="22" t="s">
        <v>168</v>
      </c>
      <c r="D17" s="22" t="s">
        <v>169</v>
      </c>
      <c r="E17" s="22" t="s">
        <v>170</v>
      </c>
      <c r="F17" s="25" t="s">
        <v>130</v>
      </c>
    </row>
    <row r="18" spans="1:6" ht="72" customHeight="1" x14ac:dyDescent="0.5">
      <c r="A18" s="17" t="s">
        <v>171</v>
      </c>
      <c r="B18" s="19" t="s">
        <v>172</v>
      </c>
      <c r="C18" s="19" t="s">
        <v>173</v>
      </c>
      <c r="D18" s="19" t="s">
        <v>142</v>
      </c>
      <c r="E18" s="19" t="s">
        <v>129</v>
      </c>
      <c r="F18" s="24" t="s">
        <v>130</v>
      </c>
    </row>
    <row r="19" spans="1:6" ht="72" customHeight="1" x14ac:dyDescent="0.5">
      <c r="A19" s="21" t="s">
        <v>174</v>
      </c>
      <c r="B19" s="22" t="s">
        <v>175</v>
      </c>
      <c r="C19" s="22" t="s">
        <v>176</v>
      </c>
      <c r="D19" s="22" t="s">
        <v>177</v>
      </c>
      <c r="E19" s="22" t="s">
        <v>129</v>
      </c>
      <c r="F19" s="25" t="s">
        <v>130</v>
      </c>
    </row>
    <row r="20" spans="1:6" ht="72" customHeight="1" x14ac:dyDescent="0.5">
      <c r="A20" s="17" t="s">
        <v>178</v>
      </c>
      <c r="B20" s="19" t="s">
        <v>179</v>
      </c>
      <c r="C20" s="19" t="s">
        <v>180</v>
      </c>
      <c r="D20" s="19" t="s">
        <v>142</v>
      </c>
      <c r="E20" s="19" t="s">
        <v>129</v>
      </c>
      <c r="F20" s="24" t="s">
        <v>130</v>
      </c>
    </row>
  </sheetData>
  <mergeCells count="3">
    <mergeCell ref="A1:F2"/>
    <mergeCell ref="A4:F4"/>
    <mergeCell ref="A6:F6"/>
  </mergeCells>
  <pageMargins left="0.75" right="0.75" top="1" bottom="1" header="0.511811023622047" footer="0.511811023622047"/>
  <pageSetup paperSize="9" orientation="portrait" horizontalDpi="300" verticalDpi="30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G13"/>
  <sheetViews>
    <sheetView showGridLines="0" zoomScaleNormal="100" workbookViewId="0">
      <pane ySplit="7" topLeftCell="A8" activePane="bottomLeft" state="frozen"/>
      <selection pane="bottomLeft" activeCell="D7" sqref="D7"/>
    </sheetView>
  </sheetViews>
  <sheetFormatPr baseColWidth="10" defaultColWidth="8.703125" defaultRowHeight="14.35" x14ac:dyDescent="0.5"/>
  <cols>
    <col min="1" max="1" width="8" customWidth="1"/>
    <col min="2" max="2" width="20" customWidth="1"/>
    <col min="3" max="5" width="32" customWidth="1"/>
    <col min="6" max="6" width="22" customWidth="1"/>
    <col min="7" max="7" width="32" customWidth="1"/>
  </cols>
  <sheetData>
    <row r="1" spans="1:7" ht="25.5" customHeight="1" x14ac:dyDescent="0.5">
      <c r="A1" s="14" t="s">
        <v>181</v>
      </c>
      <c r="B1" s="14"/>
      <c r="C1" s="14"/>
      <c r="D1" s="14"/>
      <c r="E1" s="14"/>
      <c r="F1" s="14"/>
      <c r="G1" s="14"/>
    </row>
    <row r="2" spans="1:7" ht="25.5" customHeight="1" x14ac:dyDescent="0.5">
      <c r="A2" s="14"/>
      <c r="B2" s="14"/>
      <c r="C2" s="14"/>
      <c r="D2" s="14"/>
      <c r="E2" s="14"/>
      <c r="F2" s="14"/>
      <c r="G2" s="14"/>
    </row>
    <row r="4" spans="1:7" ht="72" customHeight="1" x14ac:dyDescent="0.5">
      <c r="A4" s="13" t="s">
        <v>182</v>
      </c>
      <c r="B4" s="13"/>
      <c r="C4" s="13"/>
      <c r="D4" s="13"/>
      <c r="E4" s="13"/>
      <c r="F4" s="13"/>
      <c r="G4" s="13"/>
    </row>
    <row r="6" spans="1:7" ht="21.75" customHeight="1" x14ac:dyDescent="0.5">
      <c r="A6" s="12" t="s">
        <v>183</v>
      </c>
      <c r="B6" s="12"/>
      <c r="C6" s="12"/>
      <c r="D6" s="12"/>
      <c r="E6" s="12"/>
      <c r="F6" s="12"/>
      <c r="G6" s="12"/>
    </row>
    <row r="7" spans="1:7" ht="36" customHeight="1" x14ac:dyDescent="0.5">
      <c r="A7" s="15" t="s">
        <v>184</v>
      </c>
      <c r="B7" s="15" t="s">
        <v>185</v>
      </c>
      <c r="C7" s="15" t="s">
        <v>186</v>
      </c>
      <c r="D7" s="15" t="s">
        <v>187</v>
      </c>
      <c r="E7" s="15" t="s">
        <v>188</v>
      </c>
      <c r="F7" s="15" t="s">
        <v>189</v>
      </c>
      <c r="G7" s="15" t="s">
        <v>190</v>
      </c>
    </row>
    <row r="8" spans="1:7" ht="96" customHeight="1" x14ac:dyDescent="0.5">
      <c r="A8" s="30" t="s">
        <v>191</v>
      </c>
      <c r="B8" s="31" t="s">
        <v>192</v>
      </c>
      <c r="C8" s="32" t="s">
        <v>193</v>
      </c>
      <c r="D8" s="32" t="s">
        <v>194</v>
      </c>
      <c r="E8" s="32" t="s">
        <v>195</v>
      </c>
      <c r="F8" s="32" t="s">
        <v>196</v>
      </c>
      <c r="G8" s="32" t="s">
        <v>197</v>
      </c>
    </row>
    <row r="9" spans="1:7" ht="96" customHeight="1" x14ac:dyDescent="0.5">
      <c r="A9" s="33" t="s">
        <v>198</v>
      </c>
      <c r="B9" s="34" t="s">
        <v>199</v>
      </c>
      <c r="C9" s="35" t="s">
        <v>200</v>
      </c>
      <c r="D9" s="35" t="s">
        <v>201</v>
      </c>
      <c r="E9" s="35" t="s">
        <v>202</v>
      </c>
      <c r="F9" s="35" t="s">
        <v>203</v>
      </c>
      <c r="G9" s="35" t="s">
        <v>204</v>
      </c>
    </row>
    <row r="10" spans="1:7" ht="96" customHeight="1" x14ac:dyDescent="0.5">
      <c r="A10" s="36" t="s">
        <v>205</v>
      </c>
      <c r="B10" s="37" t="s">
        <v>206</v>
      </c>
      <c r="C10" s="38" t="s">
        <v>207</v>
      </c>
      <c r="D10" s="38" t="s">
        <v>208</v>
      </c>
      <c r="E10" s="38" t="s">
        <v>209</v>
      </c>
      <c r="F10" s="38" t="s">
        <v>210</v>
      </c>
      <c r="G10" s="38" t="s">
        <v>211</v>
      </c>
    </row>
    <row r="11" spans="1:7" ht="96" customHeight="1" x14ac:dyDescent="0.5">
      <c r="A11" s="39" t="s">
        <v>212</v>
      </c>
      <c r="B11" s="40" t="s">
        <v>213</v>
      </c>
      <c r="C11" s="41" t="s">
        <v>214</v>
      </c>
      <c r="D11" s="41" t="s">
        <v>215</v>
      </c>
      <c r="E11" s="41" t="s">
        <v>216</v>
      </c>
      <c r="F11" s="41" t="s">
        <v>217</v>
      </c>
      <c r="G11" s="41" t="s">
        <v>218</v>
      </c>
    </row>
    <row r="13" spans="1:7" ht="57.75" customHeight="1" x14ac:dyDescent="0.5">
      <c r="A13" s="13" t="s">
        <v>219</v>
      </c>
      <c r="B13" s="13"/>
      <c r="C13" s="13"/>
      <c r="D13" s="13"/>
      <c r="E13" s="13"/>
      <c r="F13" s="13"/>
      <c r="G13" s="13"/>
    </row>
  </sheetData>
  <mergeCells count="4">
    <mergeCell ref="A1:G2"/>
    <mergeCell ref="A4:G4"/>
    <mergeCell ref="A6:G6"/>
    <mergeCell ref="A13:G13"/>
  </mergeCells>
  <pageMargins left="0.75" right="0.75" top="1" bottom="1" header="0.511811023622047" footer="0.511811023622047"/>
  <pageSetup paperSize="9" orientation="portrait" horizontalDpi="300" verticalDpi="300"/>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H18"/>
  <sheetViews>
    <sheetView showGridLines="0" zoomScaleNormal="100" workbookViewId="0">
      <pane ySplit="7" topLeftCell="A8" activePane="bottomLeft" state="frozen"/>
      <selection pane="bottomLeft" sqref="A1:E2"/>
    </sheetView>
  </sheetViews>
  <sheetFormatPr baseColWidth="10" defaultColWidth="8.703125" defaultRowHeight="14.35" x14ac:dyDescent="0.5"/>
  <cols>
    <col min="1" max="1" width="28" customWidth="1"/>
    <col min="2" max="2" width="9" customWidth="1"/>
    <col min="3" max="3" width="45" customWidth="1"/>
    <col min="4" max="4" width="50" customWidth="1"/>
    <col min="5" max="5" width="14" customWidth="1"/>
    <col min="6" max="8" width="10" customWidth="1"/>
  </cols>
  <sheetData>
    <row r="1" spans="1:8" ht="25.5" customHeight="1" x14ac:dyDescent="0.5">
      <c r="A1" s="14" t="s">
        <v>220</v>
      </c>
      <c r="B1" s="14"/>
      <c r="C1" s="14"/>
      <c r="D1" s="14"/>
      <c r="E1" s="14"/>
      <c r="F1" s="42"/>
      <c r="G1" s="42"/>
      <c r="H1" s="42"/>
    </row>
    <row r="2" spans="1:8" ht="25.5" customHeight="1" x14ac:dyDescent="0.5">
      <c r="A2" s="14"/>
      <c r="B2" s="14"/>
      <c r="C2" s="14"/>
      <c r="D2" s="14"/>
      <c r="E2" s="14"/>
      <c r="F2" s="42"/>
      <c r="G2" s="42"/>
      <c r="H2" s="42"/>
    </row>
    <row r="3" spans="1:8" ht="14.25" customHeight="1" x14ac:dyDescent="0.5">
      <c r="A3" s="42"/>
      <c r="B3" s="42"/>
      <c r="C3" s="42"/>
      <c r="D3" s="42"/>
      <c r="E3" s="42"/>
      <c r="F3" s="42"/>
      <c r="G3" s="42"/>
      <c r="H3" s="42"/>
    </row>
    <row r="4" spans="1:8" ht="78" customHeight="1" x14ac:dyDescent="0.5">
      <c r="A4" s="13" t="s">
        <v>221</v>
      </c>
      <c r="B4" s="13"/>
      <c r="C4" s="13"/>
      <c r="D4" s="13"/>
      <c r="E4" s="13"/>
      <c r="F4" s="42"/>
      <c r="G4" s="42"/>
      <c r="H4" s="42"/>
    </row>
    <row r="5" spans="1:8" ht="14.25" customHeight="1" x14ac:dyDescent="0.5">
      <c r="A5" s="42"/>
      <c r="B5" s="42"/>
      <c r="C5" s="42"/>
      <c r="D5" s="42"/>
      <c r="E5" s="42"/>
      <c r="F5" s="42"/>
      <c r="G5" s="42"/>
      <c r="H5" s="42"/>
    </row>
    <row r="6" spans="1:8" ht="21.75" customHeight="1" x14ac:dyDescent="0.5">
      <c r="A6" s="7" t="s">
        <v>222</v>
      </c>
      <c r="B6" s="7"/>
      <c r="C6" s="7"/>
      <c r="D6" s="7"/>
      <c r="E6" s="7"/>
      <c r="F6" s="42"/>
      <c r="G6" s="42"/>
      <c r="H6" s="42"/>
    </row>
    <row r="7" spans="1:8" ht="31.5" customHeight="1" x14ac:dyDescent="0.5">
      <c r="A7" s="15" t="s">
        <v>83</v>
      </c>
      <c r="B7" s="15" t="s">
        <v>223</v>
      </c>
      <c r="C7" s="15" t="s">
        <v>224</v>
      </c>
      <c r="D7" s="15" t="s">
        <v>225</v>
      </c>
      <c r="E7" s="15" t="s">
        <v>226</v>
      </c>
      <c r="F7" s="42"/>
      <c r="G7" s="42"/>
      <c r="H7" s="42"/>
    </row>
    <row r="8" spans="1:8" ht="73.5" customHeight="1" x14ac:dyDescent="0.5">
      <c r="A8" s="43" t="s">
        <v>227</v>
      </c>
      <c r="B8" s="17" t="s">
        <v>228</v>
      </c>
      <c r="C8" s="19" t="s">
        <v>229</v>
      </c>
      <c r="D8" s="19" t="s">
        <v>230</v>
      </c>
      <c r="E8" s="33" t="s">
        <v>198</v>
      </c>
      <c r="F8" s="42"/>
      <c r="G8" s="42"/>
      <c r="H8" s="42"/>
    </row>
    <row r="9" spans="1:8" ht="55.5" customHeight="1" x14ac:dyDescent="0.5">
      <c r="A9" s="6" t="s">
        <v>231</v>
      </c>
      <c r="B9" s="45" t="s">
        <v>232</v>
      </c>
      <c r="C9" s="46" t="s">
        <v>233</v>
      </c>
      <c r="D9" s="46" t="s">
        <v>234</v>
      </c>
      <c r="E9" s="33" t="s">
        <v>198</v>
      </c>
      <c r="F9" s="42"/>
      <c r="G9" s="42"/>
      <c r="H9" s="42"/>
    </row>
    <row r="10" spans="1:8" ht="45" customHeight="1" x14ac:dyDescent="0.5">
      <c r="A10" s="6"/>
      <c r="B10" s="45" t="s">
        <v>235</v>
      </c>
      <c r="C10" s="46" t="s">
        <v>236</v>
      </c>
      <c r="D10" s="46" t="s">
        <v>237</v>
      </c>
      <c r="E10" s="36" t="s">
        <v>205</v>
      </c>
      <c r="F10" s="42"/>
      <c r="G10" s="42"/>
      <c r="H10" s="42"/>
    </row>
    <row r="11" spans="1:8" ht="73.5" customHeight="1" x14ac:dyDescent="0.5">
      <c r="A11" s="5" t="s">
        <v>238</v>
      </c>
      <c r="B11" s="17" t="s">
        <v>239</v>
      </c>
      <c r="C11" s="19" t="s">
        <v>240</v>
      </c>
      <c r="D11" s="19" t="s">
        <v>241</v>
      </c>
      <c r="E11" s="33" t="s">
        <v>198</v>
      </c>
      <c r="F11" s="42"/>
      <c r="G11" s="42"/>
      <c r="H11" s="42"/>
    </row>
    <row r="12" spans="1:8" ht="73.5" customHeight="1" x14ac:dyDescent="0.5">
      <c r="A12" s="5"/>
      <c r="B12" s="17" t="s">
        <v>242</v>
      </c>
      <c r="C12" s="19" t="s">
        <v>243</v>
      </c>
      <c r="D12" s="19" t="s">
        <v>244</v>
      </c>
      <c r="E12" s="33" t="s">
        <v>198</v>
      </c>
      <c r="F12" s="42"/>
      <c r="G12" s="42"/>
      <c r="H12" s="42"/>
    </row>
    <row r="13" spans="1:8" ht="91.5" customHeight="1" x14ac:dyDescent="0.5">
      <c r="A13" s="44" t="s">
        <v>245</v>
      </c>
      <c r="B13" s="45" t="s">
        <v>246</v>
      </c>
      <c r="C13" s="46" t="s">
        <v>247</v>
      </c>
      <c r="D13" s="46" t="s">
        <v>248</v>
      </c>
      <c r="E13" s="30" t="s">
        <v>191</v>
      </c>
      <c r="F13" s="42"/>
      <c r="G13" s="42"/>
      <c r="H13" s="42"/>
    </row>
    <row r="14" spans="1:8" ht="91.5" customHeight="1" x14ac:dyDescent="0.5">
      <c r="A14" s="43" t="s">
        <v>249</v>
      </c>
      <c r="B14" s="17" t="s">
        <v>250</v>
      </c>
      <c r="C14" s="19" t="s">
        <v>251</v>
      </c>
      <c r="D14" s="19" t="s">
        <v>252</v>
      </c>
      <c r="E14" s="33" t="s">
        <v>198</v>
      </c>
      <c r="F14" s="42"/>
      <c r="G14" s="42"/>
      <c r="H14" s="42"/>
    </row>
    <row r="15" spans="1:8" ht="91.5" customHeight="1" x14ac:dyDescent="0.5">
      <c r="A15" s="6" t="s">
        <v>253</v>
      </c>
      <c r="B15" s="45" t="s">
        <v>254</v>
      </c>
      <c r="C15" s="46" t="s">
        <v>255</v>
      </c>
      <c r="D15" s="46" t="s">
        <v>256</v>
      </c>
      <c r="E15" s="30" t="s">
        <v>191</v>
      </c>
      <c r="F15" s="42"/>
      <c r="G15" s="42"/>
      <c r="H15" s="42"/>
    </row>
    <row r="16" spans="1:8" ht="55.5" customHeight="1" x14ac:dyDescent="0.5">
      <c r="A16" s="6"/>
      <c r="B16" s="45" t="s">
        <v>257</v>
      </c>
      <c r="C16" s="46" t="s">
        <v>258</v>
      </c>
      <c r="D16" s="46" t="s">
        <v>234</v>
      </c>
      <c r="E16" s="33" t="s">
        <v>198</v>
      </c>
      <c r="F16" s="42"/>
      <c r="G16" s="42"/>
      <c r="H16" s="42"/>
    </row>
    <row r="18" spans="1:5" ht="37.5" customHeight="1" x14ac:dyDescent="0.5">
      <c r="A18" s="13" t="s">
        <v>259</v>
      </c>
      <c r="B18" s="13"/>
      <c r="C18" s="13"/>
      <c r="D18" s="13"/>
      <c r="E18" s="13"/>
    </row>
  </sheetData>
  <mergeCells count="7">
    <mergeCell ref="A15:A16"/>
    <mergeCell ref="A18:E18"/>
    <mergeCell ref="A1:E2"/>
    <mergeCell ref="A4:E4"/>
    <mergeCell ref="A6:E6"/>
    <mergeCell ref="A9:A10"/>
    <mergeCell ref="A11:A12"/>
  </mergeCells>
  <pageMargins left="0.75" right="0.75" top="1" bottom="1" header="0.511811023622047" footer="0.511811023622047"/>
  <pageSetup paperSize="9" orientation="portrait" horizontalDpi="300" verticalDpi="300"/>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E34"/>
  <sheetViews>
    <sheetView showGridLines="0" zoomScaleNormal="100" workbookViewId="0">
      <pane ySplit="3" topLeftCell="A4" activePane="bottomLeft" state="frozen"/>
      <selection pane="bottomLeft" sqref="A1:E2"/>
    </sheetView>
  </sheetViews>
  <sheetFormatPr baseColWidth="10" defaultColWidth="8.703125" defaultRowHeight="14.35" x14ac:dyDescent="0.5"/>
  <cols>
    <col min="1" max="2" width="22" customWidth="1"/>
    <col min="3" max="3" width="24" customWidth="1"/>
    <col min="4" max="5" width="22" customWidth="1"/>
  </cols>
  <sheetData>
    <row r="1" spans="1:5" ht="25.5" customHeight="1" x14ac:dyDescent="0.5">
      <c r="A1" s="14" t="s">
        <v>260</v>
      </c>
      <c r="B1" s="14"/>
      <c r="C1" s="14"/>
      <c r="D1" s="14"/>
      <c r="E1" s="14"/>
    </row>
    <row r="2" spans="1:5" ht="25.5" customHeight="1" x14ac:dyDescent="0.5">
      <c r="A2" s="14"/>
      <c r="B2" s="14"/>
      <c r="C2" s="14"/>
      <c r="D2" s="14"/>
      <c r="E2" s="14"/>
    </row>
    <row r="4" spans="1:5" ht="84" customHeight="1" x14ac:dyDescent="0.5">
      <c r="A4" s="13" t="s">
        <v>261</v>
      </c>
      <c r="B4" s="13"/>
      <c r="C4" s="13"/>
      <c r="D4" s="13"/>
      <c r="E4" s="13"/>
    </row>
    <row r="6" spans="1:5" ht="21.75" customHeight="1" x14ac:dyDescent="0.5">
      <c r="A6" s="7" t="s">
        <v>262</v>
      </c>
      <c r="B6" s="7"/>
      <c r="C6" s="7"/>
      <c r="D6" s="7"/>
      <c r="E6" s="7"/>
    </row>
    <row r="8" spans="1:5" ht="27.75" customHeight="1" x14ac:dyDescent="0.5">
      <c r="B8" s="4" t="s">
        <v>263</v>
      </c>
      <c r="C8" s="4"/>
      <c r="D8" s="4"/>
      <c r="E8" s="4"/>
    </row>
    <row r="9" spans="1:5" ht="36" customHeight="1" x14ac:dyDescent="0.5">
      <c r="A9" s="47" t="s">
        <v>264</v>
      </c>
      <c r="B9" s="27" t="s">
        <v>265</v>
      </c>
      <c r="C9" s="27" t="s">
        <v>266</v>
      </c>
      <c r="D9" s="27" t="s">
        <v>267</v>
      </c>
      <c r="E9" s="27" t="s">
        <v>268</v>
      </c>
    </row>
    <row r="10" spans="1:5" ht="36" customHeight="1" x14ac:dyDescent="0.5">
      <c r="A10" s="27" t="s">
        <v>269</v>
      </c>
      <c r="B10" s="36" t="s">
        <v>270</v>
      </c>
      <c r="C10" s="33" t="s">
        <v>271</v>
      </c>
      <c r="D10" s="30" t="s">
        <v>272</v>
      </c>
      <c r="E10" s="30" t="s">
        <v>272</v>
      </c>
    </row>
    <row r="11" spans="1:5" ht="36" customHeight="1" x14ac:dyDescent="0.5">
      <c r="A11" s="27" t="s">
        <v>273</v>
      </c>
      <c r="B11" s="36" t="s">
        <v>270</v>
      </c>
      <c r="C11" s="33" t="s">
        <v>271</v>
      </c>
      <c r="D11" s="33" t="s">
        <v>271</v>
      </c>
      <c r="E11" s="30" t="s">
        <v>272</v>
      </c>
    </row>
    <row r="12" spans="1:5" ht="36" customHeight="1" x14ac:dyDescent="0.5">
      <c r="A12" s="27" t="s">
        <v>274</v>
      </c>
      <c r="B12" s="39" t="s">
        <v>275</v>
      </c>
      <c r="C12" s="36" t="s">
        <v>270</v>
      </c>
      <c r="D12" s="33" t="s">
        <v>271</v>
      </c>
      <c r="E12" s="33" t="s">
        <v>271</v>
      </c>
    </row>
    <row r="13" spans="1:5" ht="36" customHeight="1" x14ac:dyDescent="0.5">
      <c r="A13" s="27" t="s">
        <v>276</v>
      </c>
      <c r="B13" s="39" t="s">
        <v>275</v>
      </c>
      <c r="C13" s="39" t="s">
        <v>275</v>
      </c>
      <c r="D13" s="36" t="s">
        <v>270</v>
      </c>
      <c r="E13" s="36" t="s">
        <v>270</v>
      </c>
    </row>
    <row r="15" spans="1:5" ht="21.75" customHeight="1" x14ac:dyDescent="0.5">
      <c r="A15" s="7" t="s">
        <v>277</v>
      </c>
      <c r="B15" s="7"/>
      <c r="C15" s="7"/>
      <c r="D15" s="7"/>
      <c r="E15" s="7"/>
    </row>
    <row r="16" spans="1:5" ht="25.5" customHeight="1" x14ac:dyDescent="0.5">
      <c r="A16" s="15" t="s">
        <v>184</v>
      </c>
      <c r="B16" s="3" t="s">
        <v>278</v>
      </c>
      <c r="C16" s="3"/>
      <c r="D16" s="3"/>
      <c r="E16" s="3"/>
    </row>
    <row r="17" spans="1:5" ht="42" customHeight="1" x14ac:dyDescent="0.5">
      <c r="A17" s="17" t="s">
        <v>269</v>
      </c>
      <c r="B17" s="2" t="s">
        <v>279</v>
      </c>
      <c r="C17" s="2"/>
      <c r="D17" s="2"/>
      <c r="E17" s="2"/>
    </row>
    <row r="18" spans="1:5" ht="42" customHeight="1" x14ac:dyDescent="0.5">
      <c r="A18" s="17" t="s">
        <v>273</v>
      </c>
      <c r="B18" s="1" t="s">
        <v>280</v>
      </c>
      <c r="C18" s="1"/>
      <c r="D18" s="1"/>
      <c r="E18" s="1"/>
    </row>
    <row r="19" spans="1:5" ht="42" customHeight="1" x14ac:dyDescent="0.5">
      <c r="A19" s="17" t="s">
        <v>274</v>
      </c>
      <c r="B19" s="2" t="s">
        <v>281</v>
      </c>
      <c r="C19" s="2"/>
      <c r="D19" s="2"/>
      <c r="E19" s="2"/>
    </row>
    <row r="20" spans="1:5" ht="42" customHeight="1" x14ac:dyDescent="0.5">
      <c r="A20" s="17" t="s">
        <v>276</v>
      </c>
      <c r="B20" s="1" t="s">
        <v>282</v>
      </c>
      <c r="C20" s="1"/>
      <c r="D20" s="1"/>
      <c r="E20" s="1"/>
    </row>
    <row r="22" spans="1:5" ht="21.75" customHeight="1" x14ac:dyDescent="0.5">
      <c r="A22" s="7" t="s">
        <v>283</v>
      </c>
      <c r="B22" s="7"/>
      <c r="C22" s="7"/>
      <c r="D22" s="7"/>
      <c r="E22" s="7"/>
    </row>
    <row r="23" spans="1:5" ht="25.5" customHeight="1" x14ac:dyDescent="0.5">
      <c r="A23" s="15" t="s">
        <v>184</v>
      </c>
      <c r="B23" s="3" t="s">
        <v>278</v>
      </c>
      <c r="C23" s="3"/>
      <c r="D23" s="3"/>
      <c r="E23" s="3"/>
    </row>
    <row r="24" spans="1:5" ht="48" customHeight="1" x14ac:dyDescent="0.5">
      <c r="A24" s="17" t="s">
        <v>265</v>
      </c>
      <c r="B24" s="2" t="s">
        <v>284</v>
      </c>
      <c r="C24" s="2"/>
      <c r="D24" s="2"/>
      <c r="E24" s="2"/>
    </row>
    <row r="25" spans="1:5" ht="48" customHeight="1" x14ac:dyDescent="0.5">
      <c r="A25" s="17" t="s">
        <v>266</v>
      </c>
      <c r="B25" s="1" t="s">
        <v>285</v>
      </c>
      <c r="C25" s="1"/>
      <c r="D25" s="1"/>
      <c r="E25" s="1"/>
    </row>
    <row r="26" spans="1:5" ht="48" customHeight="1" x14ac:dyDescent="0.5">
      <c r="A26" s="17" t="s">
        <v>267</v>
      </c>
      <c r="B26" s="2" t="s">
        <v>286</v>
      </c>
      <c r="C26" s="2"/>
      <c r="D26" s="2"/>
      <c r="E26" s="2"/>
    </row>
    <row r="27" spans="1:5" ht="48" customHeight="1" x14ac:dyDescent="0.5">
      <c r="A27" s="17" t="s">
        <v>268</v>
      </c>
      <c r="B27" s="1" t="s">
        <v>287</v>
      </c>
      <c r="C27" s="1"/>
      <c r="D27" s="1"/>
      <c r="E27" s="1"/>
    </row>
    <row r="29" spans="1:5" ht="21.75" customHeight="1" x14ac:dyDescent="0.5">
      <c r="A29" s="7" t="s">
        <v>288</v>
      </c>
      <c r="B29" s="7"/>
      <c r="C29" s="7"/>
      <c r="D29" s="7"/>
      <c r="E29" s="7"/>
    </row>
    <row r="30" spans="1:5" ht="25.5" customHeight="1" x14ac:dyDescent="0.5">
      <c r="A30" s="15" t="s">
        <v>289</v>
      </c>
      <c r="B30" s="3" t="s">
        <v>290</v>
      </c>
      <c r="C30" s="3"/>
      <c r="D30" s="3" t="s">
        <v>291</v>
      </c>
      <c r="E30" s="3"/>
    </row>
    <row r="31" spans="1:5" ht="37.5" customHeight="1" x14ac:dyDescent="0.5">
      <c r="A31" s="39" t="s">
        <v>275</v>
      </c>
      <c r="B31" s="2" t="s">
        <v>292</v>
      </c>
      <c r="C31" s="2"/>
      <c r="D31" s="53" t="s">
        <v>293</v>
      </c>
      <c r="E31" s="53"/>
    </row>
    <row r="32" spans="1:5" ht="37.5" customHeight="1" x14ac:dyDescent="0.5">
      <c r="A32" s="36" t="s">
        <v>270</v>
      </c>
      <c r="B32" s="2" t="s">
        <v>294</v>
      </c>
      <c r="C32" s="2"/>
      <c r="D32" s="53" t="s">
        <v>295</v>
      </c>
      <c r="E32" s="53"/>
    </row>
    <row r="33" spans="1:5" ht="37.5" customHeight="1" x14ac:dyDescent="0.5">
      <c r="A33" s="33" t="s">
        <v>271</v>
      </c>
      <c r="B33" s="2" t="s">
        <v>296</v>
      </c>
      <c r="C33" s="2"/>
      <c r="D33" s="53" t="s">
        <v>297</v>
      </c>
      <c r="E33" s="53"/>
    </row>
    <row r="34" spans="1:5" ht="37.5" customHeight="1" x14ac:dyDescent="0.5">
      <c r="A34" s="30" t="s">
        <v>272</v>
      </c>
      <c r="B34" s="2" t="s">
        <v>298</v>
      </c>
      <c r="C34" s="2"/>
      <c r="D34" s="53" t="s">
        <v>297</v>
      </c>
      <c r="E34" s="53"/>
    </row>
  </sheetData>
  <mergeCells count="27">
    <mergeCell ref="B32:C32"/>
    <mergeCell ref="D32:E32"/>
    <mergeCell ref="B33:C33"/>
    <mergeCell ref="D33:E33"/>
    <mergeCell ref="B34:C34"/>
    <mergeCell ref="D34:E34"/>
    <mergeCell ref="B27:E27"/>
    <mergeCell ref="A29:E29"/>
    <mergeCell ref="B30:C30"/>
    <mergeCell ref="D30:E30"/>
    <mergeCell ref="B31:C31"/>
    <mergeCell ref="D31:E31"/>
    <mergeCell ref="A22:E22"/>
    <mergeCell ref="B23:E23"/>
    <mergeCell ref="B24:E24"/>
    <mergeCell ref="B25:E25"/>
    <mergeCell ref="B26:E26"/>
    <mergeCell ref="B16:E16"/>
    <mergeCell ref="B17:E17"/>
    <mergeCell ref="B18:E18"/>
    <mergeCell ref="B19:E19"/>
    <mergeCell ref="B20:E20"/>
    <mergeCell ref="A1:E2"/>
    <mergeCell ref="A4:E4"/>
    <mergeCell ref="A6:E6"/>
    <mergeCell ref="B8:E8"/>
    <mergeCell ref="A15:E15"/>
  </mergeCells>
  <pageMargins left="0.75" right="0.75" top="1" bottom="1" header="0.511811023622047" footer="0.511811023622047"/>
  <pageSetup paperSize="9" orientation="portrait" horizontalDpi="300" verticalDpi="300"/>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E12"/>
  <sheetViews>
    <sheetView showGridLines="0" tabSelected="1" zoomScaleNormal="100" workbookViewId="0">
      <pane ySplit="7" topLeftCell="A8" activePane="bottomLeft" state="frozen"/>
      <selection pane="bottomLeft" activeCell="A4" sqref="A4:E4"/>
    </sheetView>
  </sheetViews>
  <sheetFormatPr baseColWidth="10" defaultColWidth="8.703125" defaultRowHeight="14.35" x14ac:dyDescent="0.5"/>
  <cols>
    <col min="1" max="1" width="8" customWidth="1"/>
    <col min="2" max="2" width="32" customWidth="1"/>
    <col min="3" max="3" width="14" customWidth="1"/>
    <col min="4" max="4" width="60" customWidth="1"/>
    <col min="5" max="5" width="22" customWidth="1"/>
  </cols>
  <sheetData>
    <row r="1" spans="1:5" ht="25.5" customHeight="1" x14ac:dyDescent="0.5">
      <c r="A1" s="14" t="s">
        <v>299</v>
      </c>
      <c r="B1" s="14"/>
      <c r="C1" s="14"/>
      <c r="D1" s="14"/>
      <c r="E1" s="14"/>
    </row>
    <row r="2" spans="1:5" ht="25.5" customHeight="1" x14ac:dyDescent="0.5">
      <c r="A2" s="14"/>
      <c r="B2" s="14"/>
      <c r="C2" s="14"/>
      <c r="D2" s="14"/>
      <c r="E2" s="14"/>
    </row>
    <row r="4" spans="1:5" ht="90" customHeight="1" x14ac:dyDescent="0.5">
      <c r="A4" s="13" t="s">
        <v>397</v>
      </c>
      <c r="B4" s="13"/>
      <c r="C4" s="13"/>
      <c r="D4" s="13"/>
      <c r="E4" s="13"/>
    </row>
    <row r="6" spans="1:5" ht="21.75" customHeight="1" x14ac:dyDescent="0.5">
      <c r="A6" s="7" t="s">
        <v>300</v>
      </c>
      <c r="B6" s="7"/>
      <c r="C6" s="7"/>
      <c r="D6" s="7"/>
      <c r="E6" s="7"/>
    </row>
    <row r="7" spans="1:5" ht="31.5" customHeight="1" x14ac:dyDescent="0.5">
      <c r="A7" s="15" t="s">
        <v>301</v>
      </c>
      <c r="B7" s="15" t="s">
        <v>185</v>
      </c>
      <c r="C7" s="15" t="s">
        <v>302</v>
      </c>
      <c r="D7" s="15" t="s">
        <v>303</v>
      </c>
      <c r="E7" s="15" t="s">
        <v>304</v>
      </c>
    </row>
    <row r="8" spans="1:5" ht="99.75" customHeight="1" x14ac:dyDescent="0.5">
      <c r="A8" s="17" t="s">
        <v>305</v>
      </c>
      <c r="B8" s="48" t="s">
        <v>306</v>
      </c>
      <c r="C8" s="24" t="s">
        <v>130</v>
      </c>
      <c r="D8" s="19" t="s">
        <v>307</v>
      </c>
      <c r="E8" s="19" t="s">
        <v>308</v>
      </c>
    </row>
    <row r="9" spans="1:5" ht="99.75" customHeight="1" x14ac:dyDescent="0.5">
      <c r="A9" s="21" t="s">
        <v>309</v>
      </c>
      <c r="B9" s="49" t="s">
        <v>310</v>
      </c>
      <c r="C9" s="25" t="s">
        <v>311</v>
      </c>
      <c r="D9" s="22" t="s">
        <v>312</v>
      </c>
      <c r="E9" s="22" t="s">
        <v>313</v>
      </c>
    </row>
    <row r="10" spans="1:5" ht="99.75" customHeight="1" x14ac:dyDescent="0.5">
      <c r="A10" s="17" t="s">
        <v>314</v>
      </c>
      <c r="B10" s="48" t="s">
        <v>315</v>
      </c>
      <c r="C10" s="24" t="s">
        <v>311</v>
      </c>
      <c r="D10" s="19" t="s">
        <v>316</v>
      </c>
      <c r="E10" s="19" t="s">
        <v>317</v>
      </c>
    </row>
    <row r="11" spans="1:5" ht="99.75" customHeight="1" x14ac:dyDescent="0.5">
      <c r="A11" s="21" t="s">
        <v>318</v>
      </c>
      <c r="B11" s="49" t="s">
        <v>319</v>
      </c>
      <c r="C11" s="25" t="s">
        <v>311</v>
      </c>
      <c r="D11" s="22" t="s">
        <v>320</v>
      </c>
      <c r="E11" s="22" t="s">
        <v>321</v>
      </c>
    </row>
    <row r="12" spans="1:5" ht="99.75" customHeight="1" x14ac:dyDescent="0.5">
      <c r="A12" s="17" t="s">
        <v>322</v>
      </c>
      <c r="B12" s="48" t="s">
        <v>323</v>
      </c>
      <c r="C12" s="24" t="s">
        <v>324</v>
      </c>
      <c r="D12" s="19" t="s">
        <v>325</v>
      </c>
      <c r="E12" s="19" t="s">
        <v>326</v>
      </c>
    </row>
  </sheetData>
  <mergeCells count="3">
    <mergeCell ref="A1:E2"/>
    <mergeCell ref="A4:E4"/>
    <mergeCell ref="A6:E6"/>
  </mergeCells>
  <pageMargins left="0.75" right="0.75" top="1" bottom="1" header="0.511811023622047" footer="0.511811023622047"/>
  <pageSetup paperSize="9" orientation="portrait" horizontalDpi="300" verticalDpi="30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H16"/>
  <sheetViews>
    <sheetView showGridLines="0" zoomScaleNormal="100" workbookViewId="0">
      <pane ySplit="7" topLeftCell="A8" activePane="bottomLeft" state="frozen"/>
      <selection pane="bottomLeft"/>
    </sheetView>
  </sheetViews>
  <sheetFormatPr baseColWidth="10" defaultColWidth="8.703125" defaultRowHeight="14.35" x14ac:dyDescent="0.5"/>
  <cols>
    <col min="1" max="1" width="9" customWidth="1"/>
    <col min="2" max="2" width="28" customWidth="1"/>
    <col min="3" max="3" width="38" customWidth="1"/>
    <col min="4" max="4" width="20" customWidth="1"/>
    <col min="5" max="6" width="24" customWidth="1"/>
    <col min="7" max="8" width="16" customWidth="1"/>
  </cols>
  <sheetData>
    <row r="1" spans="1:8" ht="25.5" customHeight="1" x14ac:dyDescent="0.5">
      <c r="A1" s="14" t="s">
        <v>327</v>
      </c>
      <c r="B1" s="14"/>
      <c r="C1" s="14"/>
      <c r="D1" s="14"/>
      <c r="E1" s="14"/>
      <c r="F1" s="14"/>
      <c r="G1" s="14"/>
      <c r="H1" s="14"/>
    </row>
    <row r="2" spans="1:8" ht="25.5" customHeight="1" x14ac:dyDescent="0.5">
      <c r="A2" s="14"/>
      <c r="B2" s="14"/>
      <c r="C2" s="14"/>
      <c r="D2" s="14"/>
      <c r="E2" s="14"/>
      <c r="F2" s="14"/>
      <c r="G2" s="14"/>
      <c r="H2" s="14"/>
    </row>
    <row r="4" spans="1:8" ht="90" customHeight="1" x14ac:dyDescent="0.5">
      <c r="A4" s="13" t="s">
        <v>328</v>
      </c>
      <c r="B4" s="13"/>
      <c r="C4" s="13"/>
      <c r="D4" s="13"/>
      <c r="E4" s="13"/>
      <c r="F4" s="13"/>
      <c r="G4" s="13"/>
      <c r="H4" s="13"/>
    </row>
    <row r="6" spans="1:8" ht="21.75" customHeight="1" x14ac:dyDescent="0.5">
      <c r="A6" s="7" t="s">
        <v>329</v>
      </c>
      <c r="B6" s="7"/>
      <c r="C6" s="7"/>
      <c r="D6" s="7"/>
      <c r="E6" s="7"/>
      <c r="F6" s="7"/>
      <c r="G6" s="7"/>
      <c r="H6" s="7"/>
    </row>
    <row r="7" spans="1:8" ht="36" customHeight="1" x14ac:dyDescent="0.5">
      <c r="A7" s="15" t="s">
        <v>330</v>
      </c>
      <c r="B7" s="15" t="s">
        <v>331</v>
      </c>
      <c r="C7" s="15" t="s">
        <v>332</v>
      </c>
      <c r="D7" s="15" t="s">
        <v>333</v>
      </c>
      <c r="E7" s="15" t="s">
        <v>334</v>
      </c>
      <c r="F7" s="15" t="s">
        <v>335</v>
      </c>
      <c r="G7" s="15" t="s">
        <v>336</v>
      </c>
      <c r="H7" s="15" t="s">
        <v>337</v>
      </c>
    </row>
    <row r="8" spans="1:8" ht="55.5" customHeight="1" x14ac:dyDescent="0.5">
      <c r="A8" s="17" t="s">
        <v>338</v>
      </c>
      <c r="B8" s="19" t="s">
        <v>339</v>
      </c>
      <c r="C8" s="19" t="s">
        <v>340</v>
      </c>
      <c r="D8" s="24" t="s">
        <v>269</v>
      </c>
      <c r="E8" s="24" t="s">
        <v>266</v>
      </c>
      <c r="F8" s="17" t="str">
        <f>IFERROR(INDEX('A2.0 Échelle de pertinence'!$B$10:$E$13,MATCH(D8,'A2.0 Échelle de pertinence'!$A$10:$A$13,0),MATCH(E8,'A2.0 Échelle de pertinence'!$B$9:$E$9,0)),"")</f>
        <v>Plutôt pertinent</v>
      </c>
      <c r="G8" s="17" t="s">
        <v>297</v>
      </c>
      <c r="H8" s="17" t="s">
        <v>228</v>
      </c>
    </row>
    <row r="9" spans="1:8" ht="55.5" customHeight="1" x14ac:dyDescent="0.5">
      <c r="A9" s="21" t="s">
        <v>341</v>
      </c>
      <c r="B9" s="22" t="s">
        <v>339</v>
      </c>
      <c r="C9" s="22" t="s">
        <v>342</v>
      </c>
      <c r="D9" s="25" t="s">
        <v>274</v>
      </c>
      <c r="E9" s="25" t="s">
        <v>266</v>
      </c>
      <c r="F9" s="17" t="str">
        <f>IFERROR(INDEX('A2.0 Échelle de pertinence'!$B$10:$E$13,MATCH(D9,'A2.0 Échelle de pertinence'!$A$10:$A$13,0),MATCH(E9,'A2.0 Échelle de pertinence'!$B$9:$E$9,0)),"")</f>
        <v>Moyennement pertinent</v>
      </c>
      <c r="G9" s="21" t="s">
        <v>295</v>
      </c>
      <c r="H9" s="21" t="s">
        <v>343</v>
      </c>
    </row>
    <row r="10" spans="1:8" ht="55.5" customHeight="1" x14ac:dyDescent="0.5">
      <c r="A10" s="17" t="s">
        <v>344</v>
      </c>
      <c r="B10" s="19" t="s">
        <v>345</v>
      </c>
      <c r="C10" s="19" t="s">
        <v>346</v>
      </c>
      <c r="D10" s="24" t="s">
        <v>269</v>
      </c>
      <c r="E10" s="24" t="s">
        <v>267</v>
      </c>
      <c r="F10" s="17" t="str">
        <f>IFERROR(INDEX('A2.0 Échelle de pertinence'!$B$10:$E$13,MATCH(D10,'A2.0 Échelle de pertinence'!$A$10:$A$13,0),MATCH(E10,'A2.0 Échelle de pertinence'!$B$9:$E$9,0)),"")</f>
        <v>Très pertinent</v>
      </c>
      <c r="G10" s="17" t="s">
        <v>297</v>
      </c>
      <c r="H10" s="17" t="s">
        <v>347</v>
      </c>
    </row>
    <row r="11" spans="1:8" ht="55.5" customHeight="1" x14ac:dyDescent="0.5">
      <c r="A11" s="21" t="s">
        <v>348</v>
      </c>
      <c r="B11" s="22" t="s">
        <v>345</v>
      </c>
      <c r="C11" s="22" t="s">
        <v>349</v>
      </c>
      <c r="D11" s="25" t="s">
        <v>273</v>
      </c>
      <c r="E11" s="25" t="s">
        <v>267</v>
      </c>
      <c r="F11" s="17" t="str">
        <f>IFERROR(INDEX('A2.0 Échelle de pertinence'!$B$10:$E$13,MATCH(D11,'A2.0 Échelle de pertinence'!$A$10:$A$13,0),MATCH(E11,'A2.0 Échelle de pertinence'!$B$9:$E$9,0)),"")</f>
        <v>Plutôt pertinent</v>
      </c>
      <c r="G11" s="21" t="s">
        <v>297</v>
      </c>
      <c r="H11" s="21" t="s">
        <v>246</v>
      </c>
    </row>
    <row r="12" spans="1:8" ht="55.5" customHeight="1" x14ac:dyDescent="0.5">
      <c r="A12" s="17" t="s">
        <v>350</v>
      </c>
      <c r="B12" s="19" t="s">
        <v>351</v>
      </c>
      <c r="C12" s="19" t="s">
        <v>352</v>
      </c>
      <c r="D12" s="24" t="s">
        <v>273</v>
      </c>
      <c r="E12" s="24" t="s">
        <v>268</v>
      </c>
      <c r="F12" s="17" t="str">
        <f>IFERROR(INDEX('A2.0 Échelle de pertinence'!$B$10:$E$13,MATCH(D12,'A2.0 Échelle de pertinence'!$A$10:$A$13,0),MATCH(E12,'A2.0 Échelle de pertinence'!$B$9:$E$9,0)),"")</f>
        <v>Très pertinent</v>
      </c>
      <c r="G12" s="17" t="s">
        <v>297</v>
      </c>
      <c r="H12" s="17" t="s">
        <v>239</v>
      </c>
    </row>
    <row r="13" spans="1:8" ht="55.5" customHeight="1" x14ac:dyDescent="0.5">
      <c r="A13" s="21" t="s">
        <v>353</v>
      </c>
      <c r="B13" s="22" t="s">
        <v>354</v>
      </c>
      <c r="C13" s="22" t="s">
        <v>355</v>
      </c>
      <c r="D13" s="25" t="s">
        <v>274</v>
      </c>
      <c r="E13" s="25" t="s">
        <v>266</v>
      </c>
      <c r="F13" s="17" t="str">
        <f>IFERROR(INDEX('A2.0 Échelle de pertinence'!$B$10:$E$13,MATCH(D13,'A2.0 Échelle de pertinence'!$A$10:$A$13,0),MATCH(E13,'A2.0 Échelle de pertinence'!$B$9:$E$9,0)),"")</f>
        <v>Moyennement pertinent</v>
      </c>
      <c r="G13" s="21" t="s">
        <v>295</v>
      </c>
      <c r="H13" s="21" t="s">
        <v>246</v>
      </c>
    </row>
    <row r="14" spans="1:8" ht="55.5" customHeight="1" x14ac:dyDescent="0.5">
      <c r="A14" s="17" t="s">
        <v>356</v>
      </c>
      <c r="B14" s="19" t="s">
        <v>354</v>
      </c>
      <c r="C14" s="19" t="s">
        <v>357</v>
      </c>
      <c r="D14" s="24" t="s">
        <v>274</v>
      </c>
      <c r="E14" s="24" t="s">
        <v>266</v>
      </c>
      <c r="F14" s="17" t="str">
        <f>IFERROR(INDEX('A2.0 Échelle de pertinence'!$B$10:$E$13,MATCH(D14,'A2.0 Échelle de pertinence'!$A$10:$A$13,0),MATCH(E14,'A2.0 Échelle de pertinence'!$B$9:$E$9,0)),"")</f>
        <v>Moyennement pertinent</v>
      </c>
      <c r="G14" s="17" t="s">
        <v>295</v>
      </c>
      <c r="H14" s="17" t="s">
        <v>343</v>
      </c>
    </row>
    <row r="15" spans="1:8" ht="55.5" customHeight="1" x14ac:dyDescent="0.5">
      <c r="A15" s="21" t="s">
        <v>358</v>
      </c>
      <c r="B15" s="22" t="s">
        <v>359</v>
      </c>
      <c r="C15" s="22" t="s">
        <v>360</v>
      </c>
      <c r="D15" s="25" t="s">
        <v>273</v>
      </c>
      <c r="E15" s="25" t="s">
        <v>266</v>
      </c>
      <c r="F15" s="17" t="str">
        <f>IFERROR(INDEX('A2.0 Échelle de pertinence'!$B$10:$E$13,MATCH(D15,'A2.0 Échelle de pertinence'!$A$10:$A$13,0),MATCH(E15,'A2.0 Échelle de pertinence'!$B$9:$E$9,0)),"")</f>
        <v>Plutôt pertinent</v>
      </c>
      <c r="G15" s="21" t="s">
        <v>297</v>
      </c>
      <c r="H15" s="21" t="s">
        <v>250</v>
      </c>
    </row>
    <row r="16" spans="1:8" ht="55.5" customHeight="1" x14ac:dyDescent="0.5">
      <c r="A16" s="17" t="s">
        <v>361</v>
      </c>
      <c r="B16" s="19" t="s">
        <v>359</v>
      </c>
      <c r="C16" s="19" t="s">
        <v>362</v>
      </c>
      <c r="D16" s="24" t="s">
        <v>273</v>
      </c>
      <c r="E16" s="24" t="s">
        <v>266</v>
      </c>
      <c r="F16" s="17" t="str">
        <f>IFERROR(INDEX('A2.0 Échelle de pertinence'!$B$10:$E$13,MATCH(D16,'A2.0 Échelle de pertinence'!$A$10:$A$13,0),MATCH(E16,'A2.0 Échelle de pertinence'!$B$9:$E$9,0)),"")</f>
        <v>Plutôt pertinent</v>
      </c>
      <c r="G16" s="17" t="s">
        <v>297</v>
      </c>
      <c r="H16" s="17" t="s">
        <v>363</v>
      </c>
    </row>
  </sheetData>
  <mergeCells count="3">
    <mergeCell ref="A1:H2"/>
    <mergeCell ref="A4:H4"/>
    <mergeCell ref="A6:H6"/>
  </mergeCells>
  <conditionalFormatting sqref="F8:F16">
    <cfRule type="cellIs" dxfId="3" priority="2" operator="equal">
      <formula>"Peu pertinent"</formula>
    </cfRule>
    <cfRule type="cellIs" dxfId="2" priority="3" operator="equal">
      <formula>"Moyennement pertinent"</formula>
    </cfRule>
    <cfRule type="cellIs" dxfId="1" priority="4" operator="equal">
      <formula>"Plutôt pertinent"</formula>
    </cfRule>
    <cfRule type="cellIs" dxfId="0" priority="5" operator="equal">
      <formula>"Très pertinent"</formula>
    </cfRule>
  </conditionalFormatting>
  <dataValidations count="1">
    <dataValidation type="list" errorTitle="Valeur invalide" error="Choisir parmi : Retenu, Surveillance, Écarté." sqref="G8:G16" xr:uid="{00000000-0002-0000-0800-000002000000}">
      <formula1>"Retenu,Surveillance,Écarté"</formula1>
      <formula2>0</formula2>
    </dataValidation>
  </dataValidations>
  <pageMargins left="0.75" right="0.75" top="1" bottom="1" header="0.511811023622047" footer="0.511811023622047"/>
  <pageSetup paperSize="9" orientation="portrait" horizontalDpi="300" verticalDpi="300"/>
  <extLst>
    <ext xmlns:x14="http://schemas.microsoft.com/office/spreadsheetml/2009/9/main" uri="{CCE6A557-97BC-4b89-ADB6-D9C93CAAB3DF}">
      <x14:dataValidations xmlns:xm="http://schemas.microsoft.com/office/excel/2006/main" count="2">
        <x14:dataValidation type="list" errorTitle="Valeur invalide" error="Veuillez choisir une motivation dans la liste." xr:uid="{00000000-0002-0000-0800-000000000000}">
          <x14:formula1>
            <xm:f>'A2.0 Échelle de pertinence'!$A$10:$A$13</xm:f>
          </x14:formula1>
          <x14:formula2>
            <xm:f>0</xm:f>
          </x14:formula2>
          <xm:sqref>D8:D16</xm:sqref>
        </x14:dataValidation>
        <x14:dataValidation type="list" errorTitle="Valeur invalide" error="Veuillez choisir un niveau de ressources dans la liste." xr:uid="{00000000-0002-0000-0800-000001000000}">
          <x14:formula1>
            <xm:f>'A2.0 Échelle de pertinence'!$B$9:$E$9</xm:f>
          </x14:formula1>
          <x14:formula2>
            <xm:f>0</xm:f>
          </x14:formula2>
          <xm:sqref>E8:E16</xm:sqref>
        </x14:dataValidation>
      </x14:dataValidation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F21"/>
  <sheetViews>
    <sheetView showGridLines="0" zoomScaleNormal="100" workbookViewId="0">
      <pane ySplit="7" topLeftCell="A8" activePane="bottomLeft" state="frozen"/>
      <selection pane="bottomLeft"/>
    </sheetView>
  </sheetViews>
  <sheetFormatPr baseColWidth="10" defaultColWidth="8.703125" defaultRowHeight="14.35" x14ac:dyDescent="0.5"/>
  <cols>
    <col min="1" max="1" width="9" customWidth="1"/>
    <col min="2" max="2" width="36" customWidth="1"/>
    <col min="3" max="3" width="10" customWidth="1"/>
    <col min="4" max="4" width="9" customWidth="1"/>
    <col min="5" max="5" width="50" customWidth="1"/>
    <col min="6" max="6" width="22" customWidth="1"/>
  </cols>
  <sheetData>
    <row r="1" spans="1:6" ht="25.5" customHeight="1" x14ac:dyDescent="0.5">
      <c r="A1" s="14" t="s">
        <v>364</v>
      </c>
      <c r="B1" s="14"/>
      <c r="C1" s="14"/>
      <c r="D1" s="14"/>
      <c r="E1" s="14"/>
      <c r="F1" s="14"/>
    </row>
    <row r="2" spans="1:6" ht="25.5" customHeight="1" x14ac:dyDescent="0.5">
      <c r="A2" s="14"/>
      <c r="B2" s="14"/>
      <c r="C2" s="14"/>
      <c r="D2" s="14"/>
      <c r="E2" s="14"/>
      <c r="F2" s="14"/>
    </row>
    <row r="4" spans="1:6" ht="90" customHeight="1" x14ac:dyDescent="0.5">
      <c r="A4" s="13" t="s">
        <v>365</v>
      </c>
      <c r="B4" s="13"/>
      <c r="C4" s="13"/>
      <c r="D4" s="13"/>
      <c r="E4" s="13"/>
      <c r="F4" s="13"/>
    </row>
    <row r="6" spans="1:6" ht="21.75" customHeight="1" x14ac:dyDescent="0.5">
      <c r="A6" s="7" t="s">
        <v>366</v>
      </c>
      <c r="B6" s="7"/>
      <c r="C6" s="7"/>
      <c r="D6" s="7"/>
      <c r="E6" s="7"/>
      <c r="F6" s="7"/>
    </row>
    <row r="7" spans="1:6" ht="31.5" customHeight="1" x14ac:dyDescent="0.5">
      <c r="A7" s="15" t="s">
        <v>223</v>
      </c>
      <c r="B7" s="15" t="s">
        <v>224</v>
      </c>
      <c r="C7" s="15" t="s">
        <v>226</v>
      </c>
      <c r="D7" s="15" t="s">
        <v>330</v>
      </c>
      <c r="E7" s="15" t="s">
        <v>367</v>
      </c>
      <c r="F7" s="15" t="s">
        <v>289</v>
      </c>
    </row>
    <row r="8" spans="1:6" ht="36" customHeight="1" x14ac:dyDescent="0.5">
      <c r="A8" s="54" t="s">
        <v>246</v>
      </c>
      <c r="B8" s="55" t="s">
        <v>368</v>
      </c>
      <c r="C8" s="56" t="s">
        <v>191</v>
      </c>
      <c r="D8" s="17" t="s">
        <v>348</v>
      </c>
      <c r="E8" s="19" t="s">
        <v>369</v>
      </c>
      <c r="F8" s="50" t="s">
        <v>271</v>
      </c>
    </row>
    <row r="9" spans="1:6" ht="36" customHeight="1" x14ac:dyDescent="0.5">
      <c r="A9" s="54"/>
      <c r="B9" s="54"/>
      <c r="C9" s="54"/>
      <c r="D9" s="17" t="s">
        <v>353</v>
      </c>
      <c r="E9" s="19" t="s">
        <v>370</v>
      </c>
      <c r="F9" s="51" t="s">
        <v>270</v>
      </c>
    </row>
    <row r="10" spans="1:6" ht="36" customHeight="1" x14ac:dyDescent="0.5">
      <c r="A10" s="17" t="s">
        <v>254</v>
      </c>
      <c r="B10" s="19" t="s">
        <v>371</v>
      </c>
      <c r="C10" s="30" t="s">
        <v>191</v>
      </c>
      <c r="D10" s="17" t="s">
        <v>344</v>
      </c>
      <c r="E10" s="19" t="s">
        <v>372</v>
      </c>
      <c r="F10" s="52" t="s">
        <v>272</v>
      </c>
    </row>
    <row r="11" spans="1:6" ht="36" customHeight="1" x14ac:dyDescent="0.5">
      <c r="A11" s="17" t="s">
        <v>239</v>
      </c>
      <c r="B11" s="19" t="s">
        <v>373</v>
      </c>
      <c r="C11" s="33" t="s">
        <v>198</v>
      </c>
      <c r="D11" s="17" t="s">
        <v>350</v>
      </c>
      <c r="E11" s="19" t="s">
        <v>374</v>
      </c>
      <c r="F11" s="52" t="s">
        <v>272</v>
      </c>
    </row>
    <row r="12" spans="1:6" ht="36" customHeight="1" x14ac:dyDescent="0.5">
      <c r="A12" s="17" t="s">
        <v>228</v>
      </c>
      <c r="B12" s="19" t="s">
        <v>229</v>
      </c>
      <c r="C12" s="33" t="s">
        <v>198</v>
      </c>
      <c r="D12" s="17" t="s">
        <v>338</v>
      </c>
      <c r="E12" s="19" t="s">
        <v>375</v>
      </c>
      <c r="F12" s="50" t="s">
        <v>271</v>
      </c>
    </row>
    <row r="13" spans="1:6" ht="36" customHeight="1" x14ac:dyDescent="0.5">
      <c r="A13" s="54" t="s">
        <v>232</v>
      </c>
      <c r="B13" s="55" t="s">
        <v>376</v>
      </c>
      <c r="C13" s="57" t="s">
        <v>198</v>
      </c>
      <c r="D13" s="17" t="s">
        <v>344</v>
      </c>
      <c r="E13" s="19" t="s">
        <v>377</v>
      </c>
      <c r="F13" s="52" t="s">
        <v>272</v>
      </c>
    </row>
    <row r="14" spans="1:6" ht="36" customHeight="1" x14ac:dyDescent="0.5">
      <c r="A14" s="54"/>
      <c r="B14" s="54"/>
      <c r="C14" s="54"/>
      <c r="D14" s="17" t="s">
        <v>341</v>
      </c>
      <c r="E14" s="19" t="s">
        <v>378</v>
      </c>
      <c r="F14" s="51" t="s">
        <v>270</v>
      </c>
    </row>
    <row r="15" spans="1:6" ht="36" customHeight="1" x14ac:dyDescent="0.5">
      <c r="A15" s="54"/>
      <c r="B15" s="54"/>
      <c r="C15" s="54"/>
      <c r="D15" s="17" t="s">
        <v>356</v>
      </c>
      <c r="E15" s="19" t="s">
        <v>379</v>
      </c>
      <c r="F15" s="51" t="s">
        <v>270</v>
      </c>
    </row>
    <row r="16" spans="1:6" ht="36" customHeight="1" x14ac:dyDescent="0.5">
      <c r="A16" s="54" t="s">
        <v>250</v>
      </c>
      <c r="B16" s="55" t="s">
        <v>380</v>
      </c>
      <c r="C16" s="57" t="s">
        <v>198</v>
      </c>
      <c r="D16" s="17" t="s">
        <v>358</v>
      </c>
      <c r="E16" s="19" t="s">
        <v>381</v>
      </c>
      <c r="F16" s="50" t="s">
        <v>271</v>
      </c>
    </row>
    <row r="17" spans="1:6" ht="36" customHeight="1" x14ac:dyDescent="0.5">
      <c r="A17" s="54"/>
      <c r="B17" s="54"/>
      <c r="C17" s="54"/>
      <c r="D17" s="17" t="s">
        <v>361</v>
      </c>
      <c r="E17" s="19" t="s">
        <v>382</v>
      </c>
      <c r="F17" s="50" t="s">
        <v>271</v>
      </c>
    </row>
    <row r="18" spans="1:6" ht="36" customHeight="1" x14ac:dyDescent="0.5">
      <c r="A18" s="17" t="s">
        <v>257</v>
      </c>
      <c r="B18" s="19" t="s">
        <v>383</v>
      </c>
      <c r="C18" s="33" t="s">
        <v>198</v>
      </c>
      <c r="D18" s="17" t="s">
        <v>34</v>
      </c>
      <c r="E18" s="19" t="s">
        <v>384</v>
      </c>
      <c r="F18" s="24" t="s">
        <v>385</v>
      </c>
    </row>
    <row r="19" spans="1:6" ht="36" customHeight="1" x14ac:dyDescent="0.5">
      <c r="A19" s="17" t="s">
        <v>242</v>
      </c>
      <c r="B19" s="19" t="s">
        <v>386</v>
      </c>
      <c r="C19" s="33" t="s">
        <v>198</v>
      </c>
      <c r="D19" s="17" t="s">
        <v>361</v>
      </c>
      <c r="E19" s="19" t="s">
        <v>387</v>
      </c>
      <c r="F19" s="50" t="s">
        <v>271</v>
      </c>
    </row>
    <row r="20" spans="1:6" ht="36" customHeight="1" x14ac:dyDescent="0.5">
      <c r="A20" s="54" t="s">
        <v>235</v>
      </c>
      <c r="B20" s="55" t="s">
        <v>388</v>
      </c>
      <c r="C20" s="58" t="s">
        <v>205</v>
      </c>
      <c r="D20" s="17" t="s">
        <v>341</v>
      </c>
      <c r="E20" s="19" t="s">
        <v>389</v>
      </c>
      <c r="F20" s="51" t="s">
        <v>270</v>
      </c>
    </row>
    <row r="21" spans="1:6" ht="36" customHeight="1" x14ac:dyDescent="0.5">
      <c r="A21" s="54"/>
      <c r="B21" s="54"/>
      <c r="C21" s="54"/>
      <c r="D21" s="17" t="s">
        <v>356</v>
      </c>
      <c r="E21" s="19" t="s">
        <v>390</v>
      </c>
      <c r="F21" s="51" t="s">
        <v>270</v>
      </c>
    </row>
  </sheetData>
  <mergeCells count="15">
    <mergeCell ref="A20:A21"/>
    <mergeCell ref="B20:B21"/>
    <mergeCell ref="C20:C21"/>
    <mergeCell ref="A13:A15"/>
    <mergeCell ref="B13:B15"/>
    <mergeCell ref="C13:C15"/>
    <mergeCell ref="A16:A17"/>
    <mergeCell ref="B16:B17"/>
    <mergeCell ref="C16:C17"/>
    <mergeCell ref="A1:F2"/>
    <mergeCell ref="A4:F4"/>
    <mergeCell ref="A6:F6"/>
    <mergeCell ref="A8:A9"/>
    <mergeCell ref="B8:B9"/>
    <mergeCell ref="C8:C9"/>
  </mergeCells>
  <pageMargins left="0.75" right="0.75" top="1" bottom="1" header="0.511811023622047" footer="0.511811023622047"/>
  <pageSetup paperSize="9" orientation="portrait" horizontalDpi="300" verticalDpi="30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B4"/>
  <sheetViews>
    <sheetView showGridLines="0" zoomScaleNormal="100" workbookViewId="0"/>
  </sheetViews>
  <sheetFormatPr baseColWidth="10" defaultColWidth="8.703125" defaultRowHeight="14.35" x14ac:dyDescent="0.5"/>
  <cols>
    <col min="1" max="1" width="4" customWidth="1"/>
    <col min="2" max="2" width="100" customWidth="1"/>
  </cols>
  <sheetData>
    <row r="1" spans="1:2" ht="25.5" customHeight="1" x14ac:dyDescent="0.5">
      <c r="A1" s="14" t="s">
        <v>391</v>
      </c>
      <c r="B1" s="14"/>
    </row>
    <row r="2" spans="1:2" ht="25.5" customHeight="1" x14ac:dyDescent="0.5">
      <c r="A2" s="14"/>
      <c r="B2" s="14"/>
    </row>
    <row r="4" spans="1:2" ht="90" customHeight="1" x14ac:dyDescent="0.5">
      <c r="A4" s="13" t="s">
        <v>392</v>
      </c>
      <c r="B4" s="13"/>
    </row>
  </sheetData>
  <mergeCells count="2">
    <mergeCell ref="A1:B2"/>
    <mergeCell ref="A4:B4"/>
  </mergeCells>
  <pageMargins left="0.75" right="0.75" top="1" bottom="1" header="0.511811023622047" footer="0.511811023622047"/>
  <pageSetup paperSize="9" orientation="portrait" horizontalDpi="300" verticalDpi="30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B4"/>
  <sheetViews>
    <sheetView showGridLines="0" zoomScaleNormal="100" workbookViewId="0"/>
  </sheetViews>
  <sheetFormatPr baseColWidth="10" defaultColWidth="8.703125" defaultRowHeight="14.35" x14ac:dyDescent="0.5"/>
  <cols>
    <col min="1" max="1" width="4" customWidth="1"/>
    <col min="2" max="2" width="100" customWidth="1"/>
  </cols>
  <sheetData>
    <row r="1" spans="1:2" ht="25.5" customHeight="1" x14ac:dyDescent="0.5">
      <c r="A1" s="14" t="s">
        <v>393</v>
      </c>
      <c r="B1" s="14"/>
    </row>
    <row r="2" spans="1:2" ht="25.5" customHeight="1" x14ac:dyDescent="0.5">
      <c r="A2" s="14"/>
      <c r="B2" s="14"/>
    </row>
    <row r="4" spans="1:2" ht="90" customHeight="1" x14ac:dyDescent="0.5">
      <c r="A4" s="13" t="s">
        <v>394</v>
      </c>
      <c r="B4" s="13"/>
    </row>
  </sheetData>
  <mergeCells count="2">
    <mergeCell ref="A1:B2"/>
    <mergeCell ref="A4:B4"/>
  </mergeCells>
  <pageMargins left="0.75" right="0.75" top="1" bottom="1" header="0.511811023622047" footer="0.511811023622047"/>
  <pageSetup paperSize="9" orientation="portrait" horizontalDpi="300" verticalDpi="300"/>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B4"/>
  <sheetViews>
    <sheetView showGridLines="0" zoomScaleNormal="100" workbookViewId="0"/>
  </sheetViews>
  <sheetFormatPr baseColWidth="10" defaultColWidth="8.703125" defaultRowHeight="14.35" x14ac:dyDescent="0.5"/>
  <cols>
    <col min="1" max="1" width="4" customWidth="1"/>
    <col min="2" max="2" width="100" customWidth="1"/>
  </cols>
  <sheetData>
    <row r="1" spans="1:2" ht="25.5" customHeight="1" x14ac:dyDescent="0.5">
      <c r="A1" s="14" t="s">
        <v>395</v>
      </c>
      <c r="B1" s="14"/>
    </row>
    <row r="2" spans="1:2" ht="25.5" customHeight="1" x14ac:dyDescent="0.5">
      <c r="A2" s="14"/>
      <c r="B2" s="14"/>
    </row>
    <row r="4" spans="1:2" ht="90" customHeight="1" x14ac:dyDescent="0.5">
      <c r="A4" s="13" t="s">
        <v>396</v>
      </c>
      <c r="B4" s="13"/>
    </row>
  </sheetData>
  <mergeCells count="2">
    <mergeCell ref="A1:B2"/>
    <mergeCell ref="A4:B4"/>
  </mergeCells>
  <pageMargins left="0.75" right="0.75" top="1" bottom="1" header="0.511811023622047" footer="0.511811023622047"/>
  <pageSetup paperSize="9" orientation="portrait" horizontalDpi="300" verticalDpi="300"/>
</worksheet>
</file>

<file path=docProps/app.xml><?xml version="1.0" encoding="utf-8"?>
<Properties xmlns="http://schemas.openxmlformats.org/officeDocument/2006/extended-properties" xmlns:vt="http://schemas.openxmlformats.org/officeDocument/2006/docPropsVTypes">
  <Template/>
  <TotalTime>0</TotalTime>
  <Application>Microsoft Excel</Application>
  <DocSecurity>0</DocSecurity>
  <ScaleCrop>false</ScaleCrop>
  <HeadingPairs>
    <vt:vector size="2" baseType="variant">
      <vt:variant>
        <vt:lpstr>Feuilles de calcul</vt:lpstr>
      </vt:variant>
      <vt:variant>
        <vt:i4>13</vt:i4>
      </vt:variant>
    </vt:vector>
  </HeadingPairs>
  <TitlesOfParts>
    <vt:vector size="13" baseType="lpstr">
      <vt:lpstr>Introduction</vt:lpstr>
      <vt:lpstr>A1.0 Périmètre</vt:lpstr>
      <vt:lpstr>A1.1 Missions &amp; VM</vt:lpstr>
      <vt:lpstr>A1.2 Biens supports</vt:lpstr>
      <vt:lpstr>A1.3 Échelle de gravité</vt:lpstr>
      <vt:lpstr>A1.4 Événements redoutés</vt:lpstr>
      <vt:lpstr>A2.0 Échelle de pertinence</vt:lpstr>
      <vt:lpstr>A2.1 Sources de risque</vt:lpstr>
      <vt:lpstr>A2.2 Couples SR-OV</vt:lpstr>
      <vt:lpstr>A2.3 Liens couples - ER</vt:lpstr>
      <vt:lpstr>A3 Scénarios stratégiques</vt:lpstr>
      <vt:lpstr>A4 Scénarios opérationnels</vt:lpstr>
      <vt:lpstr>A5 Traitement du risque</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dc:description/>
  <cp:lastModifiedBy>virgile thonnier</cp:lastModifiedBy>
  <cp:revision>0</cp:revision>
  <dcterms:created xsi:type="dcterms:W3CDTF">2026-05-16T14:58:13Z</dcterms:created>
  <dcterms:modified xsi:type="dcterms:W3CDTF">2026-05-17T16:13:28Z</dcterms:modified>
  <dc:language>en-US</dc:language>
</cp:coreProperties>
</file>